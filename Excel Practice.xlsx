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KIT TRIPATHI\Desktop\"/>
    </mc:Choice>
  </mc:AlternateContent>
  <xr:revisionPtr revIDLastSave="0" documentId="13_ncr:1_{9EA6E544-8FB7-4965-9057-7010354CFBF1}" xr6:coauthVersionLast="47" xr6:coauthVersionMax="47" xr10:uidLastSave="{00000000-0000-0000-0000-000000000000}"/>
  <bookViews>
    <workbookView xWindow="-108" yWindow="-108" windowWidth="23256" windowHeight="12456" activeTab="2" xr2:uid="{666BDF99-C28F-4D9F-A9EC-9AB472928937}"/>
  </bookViews>
  <sheets>
    <sheet name="Data Entry and Formatting" sheetId="1" r:id="rId1"/>
    <sheet name="Conditional Formatting " sheetId="2" r:id="rId2"/>
    <sheet name="Aggregate Function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2" i="3" l="1"/>
  <c r="I17" i="3"/>
  <c r="G20" i="3"/>
  <c r="L8" i="3"/>
  <c r="L6" i="3"/>
  <c r="E16" i="3"/>
  <c r="G19" i="3"/>
  <c r="G18" i="3"/>
  <c r="G17" i="3"/>
  <c r="G16" i="3"/>
</calcChain>
</file>

<file path=xl/sharedStrings.xml><?xml version="1.0" encoding="utf-8"?>
<sst xmlns="http://schemas.openxmlformats.org/spreadsheetml/2006/main" count="127" uniqueCount="64">
  <si>
    <t>Employee ID</t>
  </si>
  <si>
    <t>Name</t>
  </si>
  <si>
    <t>Department</t>
  </si>
  <si>
    <t>City</t>
  </si>
  <si>
    <t>Joining Date</t>
  </si>
  <si>
    <t>Salary</t>
  </si>
  <si>
    <t>Performance Rating</t>
  </si>
  <si>
    <t>E101</t>
  </si>
  <si>
    <t>Rahul Sharma</t>
  </si>
  <si>
    <t>Sales</t>
  </si>
  <si>
    <t>Delhi</t>
  </si>
  <si>
    <t>E102</t>
  </si>
  <si>
    <t>Priya Singh</t>
  </si>
  <si>
    <t>HR</t>
  </si>
  <si>
    <t>Lucknow</t>
  </si>
  <si>
    <t>E103</t>
  </si>
  <si>
    <t>Amit Verma</t>
  </si>
  <si>
    <t>IT</t>
  </si>
  <si>
    <t>Noida</t>
  </si>
  <si>
    <t>E104</t>
  </si>
  <si>
    <t>Neha Gupta</t>
  </si>
  <si>
    <t>Finance</t>
  </si>
  <si>
    <t>Kanpur</t>
  </si>
  <si>
    <t>E105</t>
  </si>
  <si>
    <t>Arjun Mishra</t>
  </si>
  <si>
    <t>Marketing</t>
  </si>
  <si>
    <t>Varanasi</t>
  </si>
  <si>
    <t>E106</t>
  </si>
  <si>
    <t>Simran Kaur</t>
  </si>
  <si>
    <t>Chandigarh</t>
  </si>
  <si>
    <t>E107</t>
  </si>
  <si>
    <t>Mohit Yadav</t>
  </si>
  <si>
    <t>Jaipur</t>
  </si>
  <si>
    <t>E108</t>
  </si>
  <si>
    <t>Pooja Patel</t>
  </si>
  <si>
    <t>Ahmedabad</t>
  </si>
  <si>
    <t>E109</t>
  </si>
  <si>
    <t>Rohan Jain</t>
  </si>
  <si>
    <t>Indore</t>
  </si>
  <si>
    <t>E110</t>
  </si>
  <si>
    <t>Anjali Tiwari</t>
  </si>
  <si>
    <t>Prayagraj</t>
  </si>
  <si>
    <t>Employee Management Report</t>
  </si>
  <si>
    <t>Attendance %</t>
  </si>
  <si>
    <t>Amit</t>
  </si>
  <si>
    <t>Neha</t>
  </si>
  <si>
    <t>Ravi</t>
  </si>
  <si>
    <t>Priya</t>
  </si>
  <si>
    <t>Karan</t>
  </si>
  <si>
    <t>Pooja</t>
  </si>
  <si>
    <t>Mohit</t>
  </si>
  <si>
    <t>Anjali</t>
  </si>
  <si>
    <t>Deepak</t>
  </si>
  <si>
    <t>Sneha</t>
  </si>
  <si>
    <t>Employee Management</t>
  </si>
  <si>
    <t>Emp ID</t>
  </si>
  <si>
    <t>Employee</t>
  </si>
  <si>
    <t>Experience (Years)</t>
  </si>
  <si>
    <t>Rahul</t>
  </si>
  <si>
    <t>Suresh</t>
  </si>
  <si>
    <t>Vivek</t>
  </si>
  <si>
    <t>Ritu</t>
  </si>
  <si>
    <t>Average</t>
  </si>
  <si>
    <t>Total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</si>
</sst>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[$₹-4009]\ * #,##0_ ;_ [$₹-4009]\ * \-#,##0_ ;_ [$₹-4009]\ * &quot;-&quot;??_ ;_ @_ "/>
    <numFmt numFmtId="165" formatCode="[$-F800]dddd\,\ mmmm\ dd\,\ yyyy"/>
  </numFmts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8"/>
      <color theme="2"/>
      <name val="Calibri"/>
      <family val="2"/>
      <scheme val="minor"/>
    </font>
    <font>
      <sz val="18"/>
      <color theme="2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8"/>
      <color theme="0" tint="-4.9989318521683403E-2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49998474074526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164" fontId="0" fillId="0" borderId="5" xfId="0" applyNumberFormat="1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164" fontId="0" fillId="0" borderId="9" xfId="0" applyNumberFormat="1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1" fillId="3" borderId="2" xfId="0" applyFont="1" applyFill="1" applyBorder="1" applyAlignment="1">
      <alignment horizontal="left" vertical="center" wrapText="1"/>
    </xf>
    <xf numFmtId="164" fontId="1" fillId="3" borderId="2" xfId="0" applyNumberFormat="1" applyFont="1" applyFill="1" applyBorder="1" applyAlignment="1">
      <alignment horizontal="right" vertical="center" wrapText="1"/>
    </xf>
    <xf numFmtId="165" fontId="1" fillId="3" borderId="2" xfId="0" applyNumberFormat="1" applyFont="1" applyFill="1" applyBorder="1" applyAlignment="1">
      <alignment horizontal="center" vertical="center" wrapText="1"/>
    </xf>
    <xf numFmtId="165" fontId="0" fillId="0" borderId="5" xfId="0" applyNumberFormat="1" applyBorder="1" applyAlignment="1">
      <alignment vertical="center" wrapText="1"/>
    </xf>
    <xf numFmtId="165" fontId="0" fillId="0" borderId="9" xfId="0" applyNumberFormat="1" applyBorder="1" applyAlignment="1">
      <alignment vertical="center" wrapText="1"/>
    </xf>
    <xf numFmtId="165" fontId="0" fillId="0" borderId="0" xfId="0" applyNumberFormat="1"/>
    <xf numFmtId="0" fontId="1" fillId="4" borderId="11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1" fillId="4" borderId="13" xfId="0" applyFont="1" applyFill="1" applyBorder="1" applyAlignment="1">
      <alignment horizontal="center" vertical="center" wrapText="1"/>
    </xf>
    <xf numFmtId="164" fontId="1" fillId="4" borderId="12" xfId="0" applyNumberFormat="1" applyFont="1" applyFill="1" applyBorder="1" applyAlignment="1">
      <alignment horizontal="center" vertical="center" wrapText="1"/>
    </xf>
    <xf numFmtId="164" fontId="0" fillId="0" borderId="0" xfId="0" applyNumberFormat="1"/>
    <xf numFmtId="0" fontId="4" fillId="2" borderId="4" xfId="0" applyFont="1" applyFill="1" applyBorder="1" applyAlignment="1">
      <alignment horizontal="center"/>
    </xf>
    <xf numFmtId="0" fontId="2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center" wrapText="1"/>
    </xf>
  </cellXfs>
  <cellStyles count="1">
    <cellStyle name="Normal" xfId="0" builtinId="0"/>
  </cellStyles>
  <dxfs count="12"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BA91D-4FAD-40FD-8B5A-F69E4BE7B18F}">
  <dimension ref="C3:I14"/>
  <sheetViews>
    <sheetView workbookViewId="0">
      <selection activeCell="C4" sqref="C4"/>
    </sheetView>
  </sheetViews>
  <sheetFormatPr defaultRowHeight="14.4" x14ac:dyDescent="0.3"/>
  <cols>
    <col min="4" max="4" width="11.44140625" customWidth="1"/>
    <col min="5" max="5" width="11.6640625" customWidth="1"/>
    <col min="6" max="6" width="11.33203125" customWidth="1"/>
    <col min="7" max="7" width="17.6640625" style="16" customWidth="1"/>
    <col min="8" max="8" width="11.33203125" bestFit="1" customWidth="1"/>
  </cols>
  <sheetData>
    <row r="3" spans="3:9" ht="24" thickBot="1" x14ac:dyDescent="0.5">
      <c r="C3" s="23" t="s">
        <v>42</v>
      </c>
      <c r="D3" s="24"/>
      <c r="E3" s="24"/>
      <c r="F3" s="24"/>
      <c r="G3" s="24"/>
      <c r="H3" s="24"/>
      <c r="I3" s="24"/>
    </row>
    <row r="4" spans="3:9" ht="55.8" customHeight="1" x14ac:dyDescent="0.3">
      <c r="C4" s="1" t="s">
        <v>0</v>
      </c>
      <c r="D4" s="11" t="s">
        <v>1</v>
      </c>
      <c r="E4" s="11" t="s">
        <v>2</v>
      </c>
      <c r="F4" s="11" t="s">
        <v>3</v>
      </c>
      <c r="G4" s="13" t="s">
        <v>4</v>
      </c>
      <c r="H4" s="12" t="s">
        <v>5</v>
      </c>
      <c r="I4" s="2" t="s">
        <v>6</v>
      </c>
    </row>
    <row r="5" spans="3:9" ht="28.8" x14ac:dyDescent="0.3">
      <c r="C5" s="5" t="s">
        <v>7</v>
      </c>
      <c r="D5" s="3" t="s">
        <v>8</v>
      </c>
      <c r="E5" s="3" t="s">
        <v>9</v>
      </c>
      <c r="F5" s="3" t="s">
        <v>10</v>
      </c>
      <c r="G5" s="14">
        <v>44941</v>
      </c>
      <c r="H5" s="4">
        <v>35000</v>
      </c>
      <c r="I5" s="6">
        <v>4</v>
      </c>
    </row>
    <row r="6" spans="3:9" x14ac:dyDescent="0.3">
      <c r="C6" s="5" t="s">
        <v>11</v>
      </c>
      <c r="D6" s="3" t="s">
        <v>12</v>
      </c>
      <c r="E6" s="3" t="s">
        <v>13</v>
      </c>
      <c r="F6" s="3" t="s">
        <v>14</v>
      </c>
      <c r="G6" s="14">
        <v>44614</v>
      </c>
      <c r="H6" s="4">
        <v>42000</v>
      </c>
      <c r="I6" s="6">
        <v>5</v>
      </c>
    </row>
    <row r="7" spans="3:9" x14ac:dyDescent="0.3">
      <c r="C7" s="5" t="s">
        <v>15</v>
      </c>
      <c r="D7" s="3" t="s">
        <v>16</v>
      </c>
      <c r="E7" s="3" t="s">
        <v>17</v>
      </c>
      <c r="F7" s="3" t="s">
        <v>18</v>
      </c>
      <c r="G7" s="14">
        <v>45361</v>
      </c>
      <c r="H7" s="4">
        <v>50000</v>
      </c>
      <c r="I7" s="6">
        <v>3</v>
      </c>
    </row>
    <row r="8" spans="3:9" x14ac:dyDescent="0.3">
      <c r="C8" s="5" t="s">
        <v>19</v>
      </c>
      <c r="D8" s="3" t="s">
        <v>20</v>
      </c>
      <c r="E8" s="3" t="s">
        <v>21</v>
      </c>
      <c r="F8" s="3" t="s">
        <v>22</v>
      </c>
      <c r="G8" s="14">
        <v>44304</v>
      </c>
      <c r="H8" s="4">
        <v>47000</v>
      </c>
      <c r="I8" s="6">
        <v>4</v>
      </c>
    </row>
    <row r="9" spans="3:9" x14ac:dyDescent="0.3">
      <c r="C9" s="5" t="s">
        <v>23</v>
      </c>
      <c r="D9" s="3" t="s">
        <v>24</v>
      </c>
      <c r="E9" s="3" t="s">
        <v>25</v>
      </c>
      <c r="F9" s="3" t="s">
        <v>26</v>
      </c>
      <c r="G9" s="14">
        <v>45051</v>
      </c>
      <c r="H9" s="4">
        <v>39000</v>
      </c>
      <c r="I9" s="6">
        <v>2</v>
      </c>
    </row>
    <row r="10" spans="3:9" x14ac:dyDescent="0.3">
      <c r="C10" s="5" t="s">
        <v>27</v>
      </c>
      <c r="D10" s="3" t="s">
        <v>28</v>
      </c>
      <c r="E10" s="3" t="s">
        <v>17</v>
      </c>
      <c r="F10" s="3" t="s">
        <v>29</v>
      </c>
      <c r="G10" s="14">
        <v>44726</v>
      </c>
      <c r="H10" s="4">
        <v>52000</v>
      </c>
      <c r="I10" s="6">
        <v>5</v>
      </c>
    </row>
    <row r="11" spans="3:9" x14ac:dyDescent="0.3">
      <c r="C11" s="5" t="s">
        <v>30</v>
      </c>
      <c r="D11" s="3" t="s">
        <v>31</v>
      </c>
      <c r="E11" s="3" t="s">
        <v>9</v>
      </c>
      <c r="F11" s="3" t="s">
        <v>32</v>
      </c>
      <c r="G11" s="14">
        <v>45498</v>
      </c>
      <c r="H11" s="4">
        <v>33000</v>
      </c>
      <c r="I11" s="6">
        <v>3</v>
      </c>
    </row>
    <row r="12" spans="3:9" x14ac:dyDescent="0.3">
      <c r="C12" s="5" t="s">
        <v>33</v>
      </c>
      <c r="D12" s="3" t="s">
        <v>34</v>
      </c>
      <c r="E12" s="3" t="s">
        <v>21</v>
      </c>
      <c r="F12" s="3" t="s">
        <v>35</v>
      </c>
      <c r="G12" s="14">
        <v>44416</v>
      </c>
      <c r="H12" s="4">
        <v>48000</v>
      </c>
      <c r="I12" s="6">
        <v>4</v>
      </c>
    </row>
    <row r="13" spans="3:9" x14ac:dyDescent="0.3">
      <c r="C13" s="5" t="s">
        <v>36</v>
      </c>
      <c r="D13" s="3" t="s">
        <v>37</v>
      </c>
      <c r="E13" s="3" t="s">
        <v>13</v>
      </c>
      <c r="F13" s="3" t="s">
        <v>38</v>
      </c>
      <c r="G13" s="14">
        <v>45186</v>
      </c>
      <c r="H13" s="4">
        <v>41000</v>
      </c>
      <c r="I13" s="6">
        <v>5</v>
      </c>
    </row>
    <row r="14" spans="3:9" ht="15" thickBot="1" x14ac:dyDescent="0.35">
      <c r="C14" s="7" t="s">
        <v>39</v>
      </c>
      <c r="D14" s="8" t="s">
        <v>40</v>
      </c>
      <c r="E14" s="8" t="s">
        <v>25</v>
      </c>
      <c r="F14" s="8" t="s">
        <v>41</v>
      </c>
      <c r="G14" s="15">
        <v>44864</v>
      </c>
      <c r="H14" s="9">
        <v>45000</v>
      </c>
      <c r="I14" s="10">
        <v>4</v>
      </c>
    </row>
  </sheetData>
  <mergeCells count="1">
    <mergeCell ref="C3:I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183A4-3FCF-464F-964B-AB62887E6152}">
  <dimension ref="D5:I16"/>
  <sheetViews>
    <sheetView workbookViewId="0">
      <selection activeCell="G15" sqref="G15"/>
    </sheetView>
  </sheetViews>
  <sheetFormatPr defaultRowHeight="14.4" x14ac:dyDescent="0.3"/>
  <cols>
    <col min="7" max="7" width="11.33203125" style="21" bestFit="1" customWidth="1"/>
  </cols>
  <sheetData>
    <row r="5" spans="4:9" ht="21.6" thickBot="1" x14ac:dyDescent="0.45">
      <c r="D5" s="22" t="s">
        <v>54</v>
      </c>
      <c r="E5" s="22"/>
      <c r="F5" s="22"/>
      <c r="G5" s="22"/>
      <c r="H5" s="22"/>
      <c r="I5" s="22"/>
    </row>
    <row r="6" spans="4:9" ht="28.8" x14ac:dyDescent="0.3">
      <c r="D6" s="17" t="s">
        <v>0</v>
      </c>
      <c r="E6" s="18" t="s">
        <v>1</v>
      </c>
      <c r="F6" s="18" t="s">
        <v>2</v>
      </c>
      <c r="G6" s="20" t="s">
        <v>5</v>
      </c>
      <c r="H6" s="18" t="s">
        <v>43</v>
      </c>
      <c r="I6" s="19" t="s">
        <v>9</v>
      </c>
    </row>
    <row r="7" spans="4:9" x14ac:dyDescent="0.3">
      <c r="D7" s="5" t="s">
        <v>7</v>
      </c>
      <c r="E7" s="3" t="s">
        <v>44</v>
      </c>
      <c r="F7" s="3" t="s">
        <v>9</v>
      </c>
      <c r="G7" s="4">
        <v>25000</v>
      </c>
      <c r="H7" s="3">
        <v>95</v>
      </c>
      <c r="I7" s="6">
        <v>55000</v>
      </c>
    </row>
    <row r="8" spans="4:9" x14ac:dyDescent="0.3">
      <c r="D8" s="5" t="s">
        <v>11</v>
      </c>
      <c r="E8" s="3" t="s">
        <v>45</v>
      </c>
      <c r="F8" s="3" t="s">
        <v>13</v>
      </c>
      <c r="G8" s="4">
        <v>30000</v>
      </c>
      <c r="H8" s="3">
        <v>88</v>
      </c>
      <c r="I8" s="6">
        <v>32000</v>
      </c>
    </row>
    <row r="9" spans="4:9" x14ac:dyDescent="0.3">
      <c r="D9" s="5" t="s">
        <v>15</v>
      </c>
      <c r="E9" s="3" t="s">
        <v>46</v>
      </c>
      <c r="F9" s="3" t="s">
        <v>17</v>
      </c>
      <c r="G9" s="4">
        <v>45000</v>
      </c>
      <c r="H9" s="3">
        <v>98</v>
      </c>
      <c r="I9" s="6">
        <v>78000</v>
      </c>
    </row>
    <row r="10" spans="4:9" x14ac:dyDescent="0.3">
      <c r="D10" s="5" t="s">
        <v>19</v>
      </c>
      <c r="E10" s="3" t="s">
        <v>47</v>
      </c>
      <c r="F10" s="3" t="s">
        <v>9</v>
      </c>
      <c r="G10" s="4">
        <v>28000</v>
      </c>
      <c r="H10" s="3">
        <v>75</v>
      </c>
      <c r="I10" s="6">
        <v>25000</v>
      </c>
    </row>
    <row r="11" spans="4:9" x14ac:dyDescent="0.3">
      <c r="D11" s="5" t="s">
        <v>23</v>
      </c>
      <c r="E11" s="3" t="s">
        <v>48</v>
      </c>
      <c r="F11" s="3" t="s">
        <v>17</v>
      </c>
      <c r="G11" s="4">
        <v>52000</v>
      </c>
      <c r="H11" s="3">
        <v>92</v>
      </c>
      <c r="I11" s="6">
        <v>85000</v>
      </c>
    </row>
    <row r="12" spans="4:9" x14ac:dyDescent="0.3">
      <c r="D12" s="5" t="s">
        <v>27</v>
      </c>
      <c r="E12" s="3" t="s">
        <v>49</v>
      </c>
      <c r="F12" s="3" t="s">
        <v>13</v>
      </c>
      <c r="G12" s="4">
        <v>27000</v>
      </c>
      <c r="H12" s="3">
        <v>80</v>
      </c>
      <c r="I12" s="6">
        <v>30000</v>
      </c>
    </row>
    <row r="13" spans="4:9" x14ac:dyDescent="0.3">
      <c r="D13" s="5" t="s">
        <v>30</v>
      </c>
      <c r="E13" s="3" t="s">
        <v>50</v>
      </c>
      <c r="F13" s="3" t="s">
        <v>9</v>
      </c>
      <c r="G13" s="4">
        <v>35000</v>
      </c>
      <c r="H13" s="3">
        <v>97</v>
      </c>
      <c r="I13" s="6">
        <v>65000</v>
      </c>
    </row>
    <row r="14" spans="4:9" x14ac:dyDescent="0.3">
      <c r="D14" s="5" t="s">
        <v>33</v>
      </c>
      <c r="E14" s="3" t="s">
        <v>51</v>
      </c>
      <c r="F14" s="3" t="s">
        <v>17</v>
      </c>
      <c r="G14" s="4">
        <v>40000</v>
      </c>
      <c r="H14" s="3">
        <v>70</v>
      </c>
      <c r="I14" s="6">
        <v>42000</v>
      </c>
    </row>
    <row r="15" spans="4:9" x14ac:dyDescent="0.3">
      <c r="D15" s="5" t="s">
        <v>36</v>
      </c>
      <c r="E15" s="3" t="s">
        <v>52</v>
      </c>
      <c r="F15" s="3" t="s">
        <v>13</v>
      </c>
      <c r="G15" s="4">
        <v>31000</v>
      </c>
      <c r="H15" s="3">
        <v>85</v>
      </c>
      <c r="I15" s="6">
        <v>35000</v>
      </c>
    </row>
    <row r="16" spans="4:9" ht="15" thickBot="1" x14ac:dyDescent="0.35">
      <c r="D16" s="7" t="s">
        <v>39</v>
      </c>
      <c r="E16" s="8" t="s">
        <v>53</v>
      </c>
      <c r="F16" s="8" t="s">
        <v>9</v>
      </c>
      <c r="G16" s="9">
        <v>48000</v>
      </c>
      <c r="H16" s="8">
        <v>99</v>
      </c>
      <c r="I16" s="10">
        <v>90000</v>
      </c>
    </row>
  </sheetData>
  <mergeCells count="1">
    <mergeCell ref="D5:I5"/>
  </mergeCells>
  <conditionalFormatting sqref="E7:E16">
    <cfRule type="containsText" dxfId="11" priority="9" operator="containsText" text="P">
      <formula>NOT(ISERROR(SEARCH("P",E7)))</formula>
    </cfRule>
  </conditionalFormatting>
  <conditionalFormatting sqref="F7:F16">
    <cfRule type="duplicateValues" dxfId="10" priority="10"/>
    <cfRule type="duplicateValues" dxfId="9" priority="11"/>
  </conditionalFormatting>
  <conditionalFormatting sqref="G7:G1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8" priority="5" operator="between">
      <formula>30000</formula>
      <formula>45000</formula>
    </cfRule>
    <cfRule type="cellIs" dxfId="7" priority="16" operator="greaterThan">
      <formula>40000</formula>
    </cfRule>
  </conditionalFormatting>
  <conditionalFormatting sqref="H7:H16">
    <cfRule type="cellIs" dxfId="6" priority="6" operator="greaterThanOrEqual">
      <formula>95</formula>
    </cfRule>
    <cfRule type="cellIs" priority="7" operator="greaterThanOrEqual">
      <formula>95</formula>
    </cfRule>
    <cfRule type="cellIs" dxfId="5" priority="13" operator="lessThan">
      <formula>80</formula>
    </cfRule>
    <cfRule type="top10" dxfId="4" priority="14" percent="1" bottom="1" rank="80"/>
    <cfRule type="top10" dxfId="3" priority="15" rank="80"/>
  </conditionalFormatting>
  <conditionalFormatting sqref="I7:I16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{DB5E7493-6423-43A9-8220-ACAF9CFE0478}</x14:id>
        </ext>
      </extLst>
    </cfRule>
    <cfRule type="top10" dxfId="2" priority="3" rank="3"/>
    <cfRule type="top10" dxfId="1" priority="4" percent="1" rank="3"/>
    <cfRule type="cellIs" dxfId="0" priority="12" operator="greaterThan">
      <formula>70000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B5E7493-6423-43A9-8220-ACAF9CFE047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I7:I16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9F4DE-29D9-456C-B496-5402D8EADB89}">
  <dimension ref="D3:L22"/>
  <sheetViews>
    <sheetView tabSelected="1" workbookViewId="0">
      <selection activeCell="G23" sqref="G23"/>
    </sheetView>
  </sheetViews>
  <sheetFormatPr defaultRowHeight="14.4" x14ac:dyDescent="0.3"/>
  <cols>
    <col min="4" max="4" width="12.21875" customWidth="1"/>
    <col min="5" max="5" width="10.33203125" customWidth="1"/>
    <col min="6" max="6" width="11" customWidth="1"/>
    <col min="7" max="7" width="10.88671875" customWidth="1"/>
    <col min="8" max="8" width="11.6640625" customWidth="1"/>
    <col min="9" max="9" width="11.109375" customWidth="1"/>
  </cols>
  <sheetData>
    <row r="3" spans="4:12" x14ac:dyDescent="0.3">
      <c r="D3" s="25" t="s">
        <v>54</v>
      </c>
      <c r="E3" s="26"/>
      <c r="F3" s="26"/>
      <c r="G3" s="26"/>
      <c r="H3" s="26"/>
      <c r="I3" s="26"/>
    </row>
    <row r="4" spans="4:12" ht="15" thickBot="1" x14ac:dyDescent="0.35">
      <c r="D4" s="27"/>
      <c r="E4" s="27"/>
      <c r="F4" s="27"/>
      <c r="G4" s="27"/>
      <c r="H4" s="27"/>
      <c r="I4" s="27"/>
    </row>
    <row r="5" spans="4:12" ht="28.8" x14ac:dyDescent="0.3">
      <c r="D5" s="17" t="s">
        <v>55</v>
      </c>
      <c r="E5" s="18" t="s">
        <v>56</v>
      </c>
      <c r="F5" s="18" t="s">
        <v>2</v>
      </c>
      <c r="G5" s="18" t="s">
        <v>5</v>
      </c>
      <c r="H5" s="18" t="s">
        <v>9</v>
      </c>
      <c r="I5" s="19" t="s">
        <v>57</v>
      </c>
    </row>
    <row r="6" spans="4:12" ht="18" x14ac:dyDescent="0.35">
      <c r="D6" s="5" t="s">
        <v>7</v>
      </c>
      <c r="E6" s="3" t="s">
        <v>44</v>
      </c>
      <c r="F6" s="3" t="s">
        <v>9</v>
      </c>
      <c r="G6" s="3">
        <v>35000</v>
      </c>
      <c r="H6" s="3">
        <v>120000</v>
      </c>
      <c r="I6" s="6">
        <v>2</v>
      </c>
      <c r="K6" s="28" t="s">
        <v>9</v>
      </c>
      <c r="L6">
        <f>SUMIF(F6:F15,K6,H6:H15)</f>
        <v>670000</v>
      </c>
    </row>
    <row r="7" spans="4:12" x14ac:dyDescent="0.3">
      <c r="D7" s="5" t="s">
        <v>11</v>
      </c>
      <c r="E7" s="3" t="s">
        <v>47</v>
      </c>
      <c r="F7" s="3" t="s">
        <v>13</v>
      </c>
      <c r="G7" s="3">
        <v>42000</v>
      </c>
      <c r="H7" s="3">
        <v>0</v>
      </c>
      <c r="I7" s="6">
        <v>5</v>
      </c>
    </row>
    <row r="8" spans="4:12" ht="18" x14ac:dyDescent="0.35">
      <c r="D8" s="5" t="s">
        <v>15</v>
      </c>
      <c r="E8" s="3" t="s">
        <v>58</v>
      </c>
      <c r="F8" s="3" t="s">
        <v>9</v>
      </c>
      <c r="G8" s="3">
        <v>38000</v>
      </c>
      <c r="H8" s="3">
        <v>150000</v>
      </c>
      <c r="I8" s="6">
        <v>3</v>
      </c>
      <c r="K8" s="28" t="s">
        <v>9</v>
      </c>
      <c r="L8">
        <f>COUNTIF(F6:F15,K8)</f>
        <v>5</v>
      </c>
    </row>
    <row r="9" spans="4:12" x14ac:dyDescent="0.3">
      <c r="D9" s="5" t="s">
        <v>19</v>
      </c>
      <c r="E9" s="3" t="s">
        <v>45</v>
      </c>
      <c r="F9" s="3" t="s">
        <v>17</v>
      </c>
      <c r="G9" s="3">
        <v>50000</v>
      </c>
      <c r="H9" s="3">
        <v>0</v>
      </c>
      <c r="I9" s="6">
        <v>6</v>
      </c>
    </row>
    <row r="10" spans="4:12" x14ac:dyDescent="0.3">
      <c r="D10" s="5" t="s">
        <v>23</v>
      </c>
      <c r="E10" s="3" t="s">
        <v>59</v>
      </c>
      <c r="F10" s="3" t="s">
        <v>9</v>
      </c>
      <c r="G10" s="3">
        <v>36000</v>
      </c>
      <c r="H10" s="3">
        <v>130000</v>
      </c>
      <c r="I10" s="6">
        <v>2</v>
      </c>
    </row>
    <row r="11" spans="4:12" x14ac:dyDescent="0.3">
      <c r="D11" s="5" t="s">
        <v>27</v>
      </c>
      <c r="E11" s="3" t="s">
        <v>49</v>
      </c>
      <c r="F11" s="3" t="s">
        <v>17</v>
      </c>
      <c r="G11" s="3">
        <v>55000</v>
      </c>
      <c r="H11" s="3">
        <v>0</v>
      </c>
      <c r="I11" s="6">
        <v>7</v>
      </c>
    </row>
    <row r="12" spans="4:12" x14ac:dyDescent="0.3">
      <c r="D12" s="5" t="s">
        <v>30</v>
      </c>
      <c r="E12" s="3" t="s">
        <v>48</v>
      </c>
      <c r="F12" s="3" t="s">
        <v>13</v>
      </c>
      <c r="G12" s="3">
        <v>40000</v>
      </c>
      <c r="H12" s="3">
        <v>0</v>
      </c>
      <c r="I12" s="6">
        <v>4</v>
      </c>
    </row>
    <row r="13" spans="4:12" x14ac:dyDescent="0.3">
      <c r="D13" s="5" t="s">
        <v>33</v>
      </c>
      <c r="E13" s="3" t="s">
        <v>51</v>
      </c>
      <c r="F13" s="3" t="s">
        <v>9</v>
      </c>
      <c r="G13" s="3">
        <v>39000</v>
      </c>
      <c r="H13" s="3">
        <v>145000</v>
      </c>
      <c r="I13" s="6">
        <v>3</v>
      </c>
    </row>
    <row r="14" spans="4:12" x14ac:dyDescent="0.3">
      <c r="D14" s="5" t="s">
        <v>36</v>
      </c>
      <c r="E14" s="3" t="s">
        <v>60</v>
      </c>
      <c r="F14" s="3" t="s">
        <v>17</v>
      </c>
      <c r="G14" s="3">
        <v>60000</v>
      </c>
      <c r="H14" s="3">
        <v>0</v>
      </c>
      <c r="I14" s="6">
        <v>8</v>
      </c>
    </row>
    <row r="15" spans="4:12" ht="15" thickBot="1" x14ac:dyDescent="0.35">
      <c r="D15" s="7" t="s">
        <v>39</v>
      </c>
      <c r="E15" s="8" t="s">
        <v>61</v>
      </c>
      <c r="F15" s="8" t="s">
        <v>9</v>
      </c>
      <c r="G15" s="8">
        <v>37000</v>
      </c>
      <c r="H15" s="8">
        <v>125000</v>
      </c>
      <c r="I15" s="10">
        <v>2</v>
      </c>
    </row>
    <row r="16" spans="4:12" x14ac:dyDescent="0.3">
      <c r="E16">
        <f>COUNTA(E6:E15)</f>
        <v>10</v>
      </c>
      <c r="G16">
        <f>SUM(G6:G15)</f>
        <v>432000</v>
      </c>
    </row>
    <row r="17" spans="5:9" x14ac:dyDescent="0.3">
      <c r="G17">
        <f>AVERAGE(G6:G15)</f>
        <v>43200</v>
      </c>
      <c r="I17">
        <f>COUNTIF(I6:I15,"&gt;4")</f>
        <v>4</v>
      </c>
    </row>
    <row r="18" spans="5:9" ht="18" x14ac:dyDescent="0.35">
      <c r="E18" s="28" t="s">
        <v>62</v>
      </c>
      <c r="G18">
        <f>MAX(G6:G15)</f>
        <v>60000</v>
      </c>
    </row>
    <row r="19" spans="5:9" x14ac:dyDescent="0.3">
      <c r="G19">
        <f>MIN(G6:G15)</f>
        <v>35000</v>
      </c>
    </row>
    <row r="20" spans="5:9" ht="18" x14ac:dyDescent="0.35">
      <c r="F20" s="28" t="s">
        <v>62</v>
      </c>
      <c r="G20">
        <f>AVERAGEIF(F6:F15,"IT",G6:G15)</f>
        <v>55000</v>
      </c>
    </row>
    <row r="22" spans="5:9" ht="36" x14ac:dyDescent="0.35">
      <c r="F22" s="29" t="s">
        <v>63</v>
      </c>
      <c r="G22">
        <f>SUMIF(F6:F15,"Sales",G6:G15)</f>
        <v>185000</v>
      </c>
    </row>
  </sheetData>
  <mergeCells count="1">
    <mergeCell ref="D3:I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Entry and Formatting</vt:lpstr>
      <vt:lpstr>Conditional Formatting </vt:lpstr>
      <vt:lpstr>Aggregate Functions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Tripathi</dc:creator>
  <cp:lastModifiedBy>Ankit Tripathi</cp:lastModifiedBy>
  <dcterms:created xsi:type="dcterms:W3CDTF">2026-06-10T01:51:00Z</dcterms:created>
  <dcterms:modified xsi:type="dcterms:W3CDTF">2026-06-10T12:32:43Z</dcterms:modified>
</cp:coreProperties>
</file>