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KIT TRIPATHI\Desktop\"/>
    </mc:Choice>
  </mc:AlternateContent>
  <xr:revisionPtr revIDLastSave="0" documentId="8_{1B598E41-20E6-4D4A-8C89-89FF2EDE8B60}" xr6:coauthVersionLast="47" xr6:coauthVersionMax="47" xr10:uidLastSave="{00000000-0000-0000-0000-000000000000}"/>
  <bookViews>
    <workbookView xWindow="-108" yWindow="-108" windowWidth="23256" windowHeight="12456" tabRatio="723" firstSheet="1" activeTab="4" xr2:uid="{216643A8-6038-439D-A56D-018E632F5BF8}"/>
  </bookViews>
  <sheets>
    <sheet name="Region Wise Revenue" sheetId="3" r:id="rId1"/>
    <sheet name="Product Wise Revenue" sheetId="4" r:id="rId2"/>
    <sheet name="SalesPerson Performance" sheetId="5" r:id="rId3"/>
    <sheet name="Sales_Data" sheetId="1" r:id="rId4"/>
    <sheet name="Dashboards" sheetId="2" r:id="rId5"/>
  </sheets>
  <definedNames>
    <definedName name="Slicer_Product">#N/A</definedName>
    <definedName name="Slicer_Region">#N/A</definedName>
    <definedName name="Slicer_Salesperson">#N/A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J2" i="1"/>
  <c r="J3" i="1"/>
  <c r="J4" i="1"/>
  <c r="J5" i="1"/>
  <c r="J6" i="1"/>
  <c r="J7" i="1"/>
  <c r="J8" i="1"/>
  <c r="J9" i="1"/>
  <c r="J10" i="1"/>
  <c r="J11" i="1"/>
  <c r="J12" i="1"/>
  <c r="J13" i="1"/>
  <c r="C2" i="1"/>
  <c r="C3" i="1"/>
  <c r="C4" i="1"/>
  <c r="C5" i="1"/>
  <c r="C6" i="1"/>
  <c r="C7" i="1"/>
  <c r="C8" i="1"/>
  <c r="C9" i="1"/>
  <c r="C10" i="1"/>
  <c r="C11" i="1"/>
  <c r="C12" i="1"/>
  <c r="C13" i="1"/>
</calcChain>
</file>

<file path=xl/sharedStrings.xml><?xml version="1.0" encoding="utf-8"?>
<sst xmlns="http://schemas.openxmlformats.org/spreadsheetml/2006/main" count="78" uniqueCount="29">
  <si>
    <t>Order ID</t>
  </si>
  <si>
    <t>Date</t>
  </si>
  <si>
    <t>Region</t>
  </si>
  <si>
    <t>Salesperson</t>
  </si>
  <si>
    <t>Product</t>
  </si>
  <si>
    <t>Category</t>
  </si>
  <si>
    <t>Units Sold</t>
  </si>
  <si>
    <t>Unit Price</t>
  </si>
  <si>
    <t>North</t>
  </si>
  <si>
    <t>Rahul</t>
  </si>
  <si>
    <t>Laptop</t>
  </si>
  <si>
    <t>Electronics</t>
  </si>
  <si>
    <t>South</t>
  </si>
  <si>
    <t>Priya</t>
  </si>
  <si>
    <t>Mobile</t>
  </si>
  <si>
    <t>East</t>
  </si>
  <si>
    <t>Aman</t>
  </si>
  <si>
    <t>Chair</t>
  </si>
  <si>
    <t>Furniture</t>
  </si>
  <si>
    <t>West</t>
  </si>
  <si>
    <t>Neha</t>
  </si>
  <si>
    <t>Table</t>
  </si>
  <si>
    <t>Month</t>
  </si>
  <si>
    <t>Quarter</t>
  </si>
  <si>
    <t>Total Sales</t>
  </si>
  <si>
    <t>Row Labels</t>
  </si>
  <si>
    <t>Grand Total</t>
  </si>
  <si>
    <t>Sum of Total Sales</t>
  </si>
  <si>
    <t>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</si>
</sst>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2" borderId="1" xfId="0" applyFont="1" applyFill="1" applyBorder="1" applyAlignment="1">
      <alignment horizontal="center"/>
    </xf>
    <xf numFmtId="0" fontId="0" fillId="2" borderId="0" xfId="0" applyFill="1" applyAlignment="1">
      <alignment horizontal="center"/>
    </xf>
    <xf numFmtId="0" fontId="0" fillId="2" borderId="1" xfId="0" applyFill="1" applyBorder="1" applyAlignment="1">
      <alignment horizontal="center"/>
    </xf>
  </cellXfs>
  <cellStyles count="1">
    <cellStyle name="Normal" xfId="0" builtinId="0"/>
  </cellStyles>
  <dxfs count="16">
    <dxf>
      <fill>
        <patternFill>
          <bgColor rgb="FF00B0F0"/>
        </patternFill>
      </fill>
    </dxf>
    <dxf>
      <fill>
        <patternFill>
          <bgColor rgb="FFFFFF00"/>
        </patternFill>
      </fill>
    </dxf>
    <dxf>
      <fill>
        <patternFill>
          <bgColor rgb="FF92D050"/>
        </patternFill>
      </fill>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[Sales_Project.xlsx]Region Wise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Revenue'!$B$3</c:f>
              <c:strCache>
                <c:ptCount val="1"/>
                <c:pt idx="0">
                  <c:v>Total</c:v>
                </c:pt>
              </c:strCache>
            </c:strRef>
          </c:tx>
          <c:spPr>
            <a:solidFill>
              <a:schemeClr val="accent1"/>
            </a:solidFill>
            <a:ln>
              <a:noFill/>
            </a:ln>
            <a:effectLst/>
          </c:spPr>
          <c:invertIfNegative val="0"/>
          <c:cat>
            <c:strRef>
              <c:f>'Region Wise Revenue'!$A$4:$A$6</c:f>
              <c:strCache>
                <c:ptCount val="3"/>
                <c:pt idx="0">
                  <c:v>East</c:v>
                </c:pt>
                <c:pt idx="1">
                  <c:v>North</c:v>
                </c:pt>
                <c:pt idx="2">
                  <c:v>West</c:v>
                </c:pt>
              </c:strCache>
            </c:strRef>
          </c:cat>
          <c:val>
            <c:numRef>
              <c:f>'Region Wise Revenue'!$B$4:$B$6</c:f>
              <c:numCache>
                <c:formatCode>General</c:formatCode>
                <c:ptCount val="3"/>
                <c:pt idx="0">
                  <c:v>52500</c:v>
                </c:pt>
                <c:pt idx="1">
                  <c:v>297000</c:v>
                </c:pt>
                <c:pt idx="2">
                  <c:v>63000</c:v>
                </c:pt>
              </c:numCache>
            </c:numRef>
          </c:val>
          <c:extLst>
            <c:ext xmlns:c16="http://schemas.microsoft.com/office/drawing/2014/chart" uri="{C3380CC4-5D6E-409C-BE32-E72D297353CC}">
              <c16:uniqueId val="{00000006-B096-4398-98EB-5D10F9860EFF}"/>
            </c:ext>
          </c:extLst>
        </c:ser>
        <c:dLbls>
          <c:showLegendKey val="0"/>
          <c:showVal val="0"/>
          <c:showCatName val="0"/>
          <c:showSerName val="0"/>
          <c:showPercent val="0"/>
          <c:showBubbleSize val="0"/>
        </c:dLbls>
        <c:gapWidth val="219"/>
        <c:overlap val="-27"/>
        <c:axId val="198955488"/>
        <c:axId val="198965568"/>
      </c:barChart>
      <c:catAx>
        <c:axId val="19895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5568"/>
        <c:crosses val="autoZero"/>
        <c:auto val="1"/>
        <c:lblAlgn val="ctr"/>
        <c:lblOffset val="100"/>
        <c:noMultiLvlLbl val="0"/>
      </c:catAx>
      <c:valAx>
        <c:axId val="198965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[Sales_Project.xlsx]Product Wise 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Product</a:t>
            </a:r>
            <a:r>
              <a:rPr lang="en-IN" sz="1600" b="1" baseline="0">
                <a:solidFill>
                  <a:srgbClr val="FF0000"/>
                </a:solidFill>
              </a:rPr>
              <a:t> Contribution</a:t>
            </a:r>
            <a:endParaRPr lang="en-IN" sz="1600" b="1">
              <a:solidFill>
                <a:srgbClr val="FF0000"/>
              </a:solidFill>
            </a:endParaRPr>
          </a:p>
        </c:rich>
      </c:tx>
      <c:layout>
        <c:manualLayout>
          <c:xMode val="edge"/>
          <c:yMode val="edge"/>
          <c:x val="0.3222637795275590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'Product Wise Revenue'!$B$3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Wise Revenue'!$A$4:$A$8</c:f>
              <c:strCache>
                <c:ptCount val="4"/>
                <c:pt idx="0">
                  <c:v>Chair</c:v>
                </c:pt>
                <c:pt idx="1">
                  <c:v>Laptop</c:v>
                </c:pt>
                <c:pt idx="2">
                  <c:v>Mobile</c:v>
                </c:pt>
                <c:pt idx="3">
                  <c:v>Table</c:v>
                </c:pt>
              </c:strCache>
            </c:strRef>
          </c:cat>
          <c:val>
            <c:numRef>
              <c:f>'Product Wise Revenue'!$B$4:$B$8</c:f>
              <c:numCache>
                <c:formatCode>General</c:formatCode>
                <c:ptCount val="4"/>
                <c:pt idx="0">
                  <c:v>52500</c:v>
                </c:pt>
                <c:pt idx="1">
                  <c:v>225000</c:v>
                </c:pt>
                <c:pt idx="2">
                  <c:v>72000</c:v>
                </c:pt>
                <c:pt idx="3">
                  <c:v>63000</c:v>
                </c:pt>
              </c:numCache>
            </c:numRef>
          </c:val>
          <c:extLst>
            <c:ext xmlns:c16="http://schemas.microsoft.com/office/drawing/2014/chart" uri="{C3380CC4-5D6E-409C-BE32-E72D297353CC}">
              <c16:uniqueId val="{00000000-9BF7-4CEB-96B5-2829F28111A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[Sales_Project.xlsx]SalesPerson Performance!PivotTable3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SalesPerson</a:t>
            </a:r>
            <a:r>
              <a:rPr lang="en-IN" sz="1600" b="1" baseline="0"/>
              <a:t> Performance</a:t>
            </a:r>
            <a:endParaRPr lang="en-IN" sz="1600" b="1"/>
          </a:p>
        </c:rich>
      </c:tx>
      <c:layout>
        <c:manualLayout>
          <c:xMode val="edge"/>
          <c:yMode val="edge"/>
          <c:x val="0.3046596675415573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cat>
            <c:strRef>
              <c:f>'SalesPerson Performance'!$A$4:$A$7</c:f>
              <c:strCache>
                <c:ptCount val="3"/>
                <c:pt idx="0">
                  <c:v>Aman</c:v>
                </c:pt>
                <c:pt idx="1">
                  <c:v>Neha</c:v>
                </c:pt>
                <c:pt idx="2">
                  <c:v>Rahul</c:v>
                </c:pt>
              </c:strCache>
            </c:strRef>
          </c:cat>
          <c:val>
            <c:numRef>
              <c:f>'SalesPerson Performance'!$B$4:$B$7</c:f>
              <c:numCache>
                <c:formatCode>General</c:formatCode>
                <c:ptCount val="3"/>
                <c:pt idx="0">
                  <c:v>52500</c:v>
                </c:pt>
                <c:pt idx="1">
                  <c:v>63000</c:v>
                </c:pt>
                <c:pt idx="2">
                  <c:v>297000</c:v>
                </c:pt>
              </c:numCache>
            </c:numRef>
          </c:val>
          <c:extLst>
            <c:ext xmlns:c16="http://schemas.microsoft.com/office/drawing/2014/chart" uri="{C3380CC4-5D6E-409C-BE32-E72D297353CC}">
              <c16:uniqueId val="{00000000-EEF0-4E12-A2EC-48E7F90CCADC}"/>
            </c:ext>
          </c:extLst>
        </c:ser>
        <c:dLbls>
          <c:showLegendKey val="0"/>
          <c:showVal val="0"/>
          <c:showCatName val="0"/>
          <c:showSerName val="0"/>
          <c:showPercent val="0"/>
          <c:showBubbleSize val="0"/>
        </c:dLbls>
        <c:gapWidth val="182"/>
        <c:axId val="198975648"/>
        <c:axId val="198976128"/>
      </c:barChart>
      <c:catAx>
        <c:axId val="19897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6128"/>
        <c:crosses val="autoZero"/>
        <c:auto val="1"/>
        <c:lblAlgn val="ctr"/>
        <c:lblOffset val="100"/>
        <c:noMultiLvlLbl val="0"/>
      </c:catAx>
      <c:valAx>
        <c:axId val="19897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[Sales_Project.xlsx]Product Wise Revenue!PivotTable2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Product</a:t>
            </a:r>
            <a:r>
              <a:rPr lang="en-IN" sz="1600" b="1" baseline="0">
                <a:solidFill>
                  <a:srgbClr val="FF0000"/>
                </a:solidFill>
              </a:rPr>
              <a:t> Contribution</a:t>
            </a:r>
            <a:endParaRPr lang="en-IN" sz="1600" b="1">
              <a:solidFill>
                <a:srgbClr val="FF0000"/>
              </a:solidFill>
            </a:endParaRPr>
          </a:p>
        </c:rich>
      </c:tx>
      <c:layout>
        <c:manualLayout>
          <c:xMode val="edge"/>
          <c:yMode val="edge"/>
          <c:x val="0.3222637795275590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'Product Wise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4C-4D63-B42E-43E0A14687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4C-4D63-B42E-43E0A14687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4C-4D63-B42E-43E0A14687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4C-4D63-B42E-43E0A1468726}"/>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Wise Revenue'!$A$4:$A$8</c:f>
              <c:strCache>
                <c:ptCount val="4"/>
                <c:pt idx="0">
                  <c:v>Chair</c:v>
                </c:pt>
                <c:pt idx="1">
                  <c:v>Laptop</c:v>
                </c:pt>
                <c:pt idx="2">
                  <c:v>Mobile</c:v>
                </c:pt>
                <c:pt idx="3">
                  <c:v>Table</c:v>
                </c:pt>
              </c:strCache>
            </c:strRef>
          </c:cat>
          <c:val>
            <c:numRef>
              <c:f>'Product Wise Revenue'!$B$4:$B$8</c:f>
              <c:numCache>
                <c:formatCode>General</c:formatCode>
                <c:ptCount val="4"/>
                <c:pt idx="0">
                  <c:v>52500</c:v>
                </c:pt>
                <c:pt idx="1">
                  <c:v>225000</c:v>
                </c:pt>
                <c:pt idx="2">
                  <c:v>72000</c:v>
                </c:pt>
                <c:pt idx="3">
                  <c:v>63000</c:v>
                </c:pt>
              </c:numCache>
            </c:numRef>
          </c:val>
          <c:extLst>
            <c:ext xmlns:c16="http://schemas.microsoft.com/office/drawing/2014/chart" uri="{C3380CC4-5D6E-409C-BE32-E72D297353CC}">
              <c16:uniqueId val="{00000008-C44C-4D63-B42E-43E0A146872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[Sales_Project.xlsx]Region Wise Revenue!PivotTable1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Revenue'!$B$3</c:f>
              <c:strCache>
                <c:ptCount val="1"/>
                <c:pt idx="0">
                  <c:v>Total</c:v>
                </c:pt>
              </c:strCache>
            </c:strRef>
          </c:tx>
          <c:spPr>
            <a:solidFill>
              <a:schemeClr val="accent1"/>
            </a:solidFill>
            <a:ln>
              <a:noFill/>
            </a:ln>
            <a:effectLst/>
          </c:spPr>
          <c:invertIfNegative val="0"/>
          <c:cat>
            <c:strRef>
              <c:f>'Region Wise Revenue'!$A$4:$A$6</c:f>
              <c:strCache>
                <c:ptCount val="3"/>
                <c:pt idx="0">
                  <c:v>East</c:v>
                </c:pt>
                <c:pt idx="1">
                  <c:v>North</c:v>
                </c:pt>
                <c:pt idx="2">
                  <c:v>West</c:v>
                </c:pt>
              </c:strCache>
            </c:strRef>
          </c:cat>
          <c:val>
            <c:numRef>
              <c:f>'Region Wise Revenue'!$B$4:$B$6</c:f>
              <c:numCache>
                <c:formatCode>General</c:formatCode>
                <c:ptCount val="3"/>
                <c:pt idx="0">
                  <c:v>52500</c:v>
                </c:pt>
                <c:pt idx="1">
                  <c:v>297000</c:v>
                </c:pt>
                <c:pt idx="2">
                  <c:v>63000</c:v>
                </c:pt>
              </c:numCache>
            </c:numRef>
          </c:val>
          <c:extLst>
            <c:ext xmlns:c16="http://schemas.microsoft.com/office/drawing/2014/chart" uri="{C3380CC4-5D6E-409C-BE32-E72D297353CC}">
              <c16:uniqueId val="{00000006-07A9-432D-8B45-D8F3FD77F02C}"/>
            </c:ext>
          </c:extLst>
        </c:ser>
        <c:dLbls>
          <c:showLegendKey val="0"/>
          <c:showVal val="0"/>
          <c:showCatName val="0"/>
          <c:showSerName val="0"/>
          <c:showPercent val="0"/>
          <c:showBubbleSize val="0"/>
        </c:dLbls>
        <c:gapWidth val="219"/>
        <c:overlap val="-27"/>
        <c:axId val="198955488"/>
        <c:axId val="198965568"/>
      </c:barChart>
      <c:catAx>
        <c:axId val="19895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5568"/>
        <c:crosses val="autoZero"/>
        <c:auto val="1"/>
        <c:lblAlgn val="ctr"/>
        <c:lblOffset val="100"/>
        <c:noMultiLvlLbl val="0"/>
      </c:catAx>
      <c:valAx>
        <c:axId val="198965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[Sales_Project.xlsx]SalesPerson Performance!PivotTable3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SalesPerson</a:t>
            </a:r>
            <a:r>
              <a:rPr lang="en-IN" sz="1600" b="1" baseline="0"/>
              <a:t> Performance</a:t>
            </a:r>
            <a:endParaRPr lang="en-IN" sz="1600" b="1"/>
          </a:p>
        </c:rich>
      </c:tx>
      <c:layout>
        <c:manualLayout>
          <c:xMode val="edge"/>
          <c:yMode val="edge"/>
          <c:x val="0.3046596675415573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cat>
            <c:strRef>
              <c:f>'SalesPerson Performance'!$A$4:$A$7</c:f>
              <c:strCache>
                <c:ptCount val="3"/>
                <c:pt idx="0">
                  <c:v>Aman</c:v>
                </c:pt>
                <c:pt idx="1">
                  <c:v>Neha</c:v>
                </c:pt>
                <c:pt idx="2">
                  <c:v>Rahul</c:v>
                </c:pt>
              </c:strCache>
            </c:strRef>
          </c:cat>
          <c:val>
            <c:numRef>
              <c:f>'SalesPerson Performance'!$B$4:$B$7</c:f>
              <c:numCache>
                <c:formatCode>General</c:formatCode>
                <c:ptCount val="3"/>
                <c:pt idx="0">
                  <c:v>52500</c:v>
                </c:pt>
                <c:pt idx="1">
                  <c:v>63000</c:v>
                </c:pt>
                <c:pt idx="2">
                  <c:v>297000</c:v>
                </c:pt>
              </c:numCache>
            </c:numRef>
          </c:val>
          <c:extLst>
            <c:ext xmlns:c16="http://schemas.microsoft.com/office/drawing/2014/chart" uri="{C3380CC4-5D6E-409C-BE32-E72D297353CC}">
              <c16:uniqueId val="{00000000-F269-4367-89CC-C3E9DC9FC671}"/>
            </c:ext>
          </c:extLst>
        </c:ser>
        <c:dLbls>
          <c:showLegendKey val="0"/>
          <c:showVal val="0"/>
          <c:showCatName val="0"/>
          <c:showSerName val="0"/>
          <c:showPercent val="0"/>
          <c:showBubbleSize val="0"/>
        </c:dLbls>
        <c:gapWidth val="182"/>
        <c:axId val="198975648"/>
        <c:axId val="198976128"/>
      </c:barChart>
      <c:catAx>
        <c:axId val="19897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6128"/>
        <c:crosses val="autoZero"/>
        <c:auto val="1"/>
        <c:lblAlgn val="ctr"/>
        <c:lblOffset val="100"/>
        <c:noMultiLvlLbl val="0"/>
      </c:catAx>
      <c:valAx>
        <c:axId val="19897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163830</xdr:rowOff>
    </xdr:from>
    <xdr:to>
      <xdr:col>10</xdr:col>
      <xdr:colOff>30480</xdr:colOff>
      <xdr:row>15</xdr:row>
      <xdr:rowOff>137160</xdr:rowOff>
    </xdr:to>
    <xdr:graphicFrame macro="">
      <xdr:nvGraphicFramePr>
        <xdr:cNvPr id="2" name="Chart 1">
          <a:extLst>
            <a:ext uri="{FF2B5EF4-FFF2-40B4-BE49-F238E27FC236}">
              <a16:creationId xmlns:a16="http://schemas.microsoft.com/office/drawing/2014/main" id="{FF4A0449-EE10-6B3F-3E5B-B1317642B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175260</xdr:rowOff>
    </xdr:from>
    <xdr:to>
      <xdr:col>10</xdr:col>
      <xdr:colOff>594360</xdr:colOff>
      <xdr:row>16</xdr:row>
      <xdr:rowOff>156210</xdr:rowOff>
    </xdr:to>
    <xdr:graphicFrame macro="">
      <xdr:nvGraphicFramePr>
        <xdr:cNvPr id="2" name="Chart 1">
          <a:extLst>
            <a:ext uri="{FF2B5EF4-FFF2-40B4-BE49-F238E27FC236}">
              <a16:creationId xmlns:a16="http://schemas.microsoft.com/office/drawing/2014/main" id="{F48A0A61-5F3F-060D-B81A-8C6ED0FFD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10</xdr:col>
      <xdr:colOff>594360</xdr:colOff>
      <xdr:row>17</xdr:row>
      <xdr:rowOff>11430</xdr:rowOff>
    </xdr:to>
    <xdr:graphicFrame macro="">
      <xdr:nvGraphicFramePr>
        <xdr:cNvPr id="2" name="Chart 1">
          <a:extLst>
            <a:ext uri="{FF2B5EF4-FFF2-40B4-BE49-F238E27FC236}">
              <a16:creationId xmlns:a16="http://schemas.microsoft.com/office/drawing/2014/main" id="{CC664365-2E6C-CD80-7F54-9BCC4EEE5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236220</xdr:colOff>
      <xdr:row>3</xdr:row>
      <xdr:rowOff>15240</xdr:rowOff>
    </xdr:from>
    <xdr:to>
      <xdr:col>12</xdr:col>
      <xdr:colOff>457200</xdr:colOff>
      <xdr:row>17</xdr:row>
      <xdr:rowOff>163830</xdr:rowOff>
    </xdr:to>
    <xdr:graphicFrame macro="">
      <xdr:nvGraphicFramePr>
        <xdr:cNvPr id="4" name="Chart 3">
          <a:extLst>
            <a:ext uri="{FF2B5EF4-FFF2-40B4-BE49-F238E27FC236}">
              <a16:creationId xmlns:a16="http://schemas.microsoft.com/office/drawing/2014/main" id="{E447231E-9541-4FCC-ABAC-29B01730E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7620</xdr:rowOff>
    </xdr:from>
    <xdr:to>
      <xdr:col>6</xdr:col>
      <xdr:colOff>91440</xdr:colOff>
      <xdr:row>18</xdr:row>
      <xdr:rowOff>163830</xdr:rowOff>
    </xdr:to>
    <xdr:graphicFrame macro="">
      <xdr:nvGraphicFramePr>
        <xdr:cNvPr id="5" name="Chart 4">
          <a:extLst>
            <a:ext uri="{FF2B5EF4-FFF2-40B4-BE49-F238E27FC236}">
              <a16:creationId xmlns:a16="http://schemas.microsoft.com/office/drawing/2014/main" id="{CB95374C-BC74-4684-A128-19189D9CE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99060</xdr:rowOff>
    </xdr:from>
    <xdr:to>
      <xdr:col>6</xdr:col>
      <xdr:colOff>106680</xdr:colOff>
      <xdr:row>34</xdr:row>
      <xdr:rowOff>80010</xdr:rowOff>
    </xdr:to>
    <xdr:graphicFrame macro="">
      <xdr:nvGraphicFramePr>
        <xdr:cNvPr id="6" name="Chart 5">
          <a:extLst>
            <a:ext uri="{FF2B5EF4-FFF2-40B4-BE49-F238E27FC236}">
              <a16:creationId xmlns:a16="http://schemas.microsoft.com/office/drawing/2014/main" id="{CBDA1F34-269B-4FB9-843D-915C1D67A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586740</xdr:colOff>
      <xdr:row>18</xdr:row>
      <xdr:rowOff>129541</xdr:rowOff>
    </xdr:from>
    <xdr:to>
      <xdr:col>15</xdr:col>
      <xdr:colOff>586740</xdr:colOff>
      <xdr:row>26</xdr:row>
      <xdr:rowOff>106681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F05E6F5-2E60-188A-E7B4-AC5F499188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68740" y="3474907"/>
              <a:ext cx="1839951" cy="1463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18</xdr:row>
      <xdr:rowOff>121921</xdr:rowOff>
    </xdr:from>
    <xdr:to>
      <xdr:col>12</xdr:col>
      <xdr:colOff>312420</xdr:colOff>
      <xdr:row>27</xdr:row>
      <xdr:rowOff>1</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ECE8B009-EDF3-D853-3B2C-233F2087F92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860788" y="3467287"/>
              <a:ext cx="1833632" cy="1550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18</xdr:row>
      <xdr:rowOff>121921</xdr:rowOff>
    </xdr:from>
    <xdr:to>
      <xdr:col>9</xdr:col>
      <xdr:colOff>312420</xdr:colOff>
      <xdr:row>27</xdr:row>
      <xdr:rowOff>30481</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1C52CC39-F1A1-602E-306E-6CEBFC1F5E2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613260" y="3467287"/>
              <a:ext cx="1832331" cy="1581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TRIPATHI" refreshedDate="46186.462666203704" createdVersion="8" refreshedVersion="8" minRefreshableVersion="3" recordCount="12" xr:uid="{49A04ECA-2073-408C-828C-2510CF71D3B4}">
  <cacheSource type="worksheet">
    <worksheetSource name="Sales_Table"/>
  </cacheSource>
  <cacheFields count="11">
    <cacheField name="Order ID" numFmtId="0">
      <sharedItems containsSemiMixedTypes="0" containsString="0" containsNumber="1" containsInteger="1" minValue="1001" maxValue="1012"/>
    </cacheField>
    <cacheField name="Date" numFmtId="15">
      <sharedItems containsSemiMixedTypes="0" containsNonDate="0" containsDate="1" containsString="0" minDate="2026-01-01T00:00:00" maxDate="2026-01-13T00:00:00"/>
    </cacheField>
    <cacheField name="Month" numFmtId="15">
      <sharedItems/>
    </cacheField>
    <cacheField name="Region" numFmtId="0">
      <sharedItems count="4">
        <s v="North"/>
        <s v="South"/>
        <s v="East"/>
        <s v="West"/>
      </sharedItems>
    </cacheField>
    <cacheField name="Salesperson" numFmtId="0">
      <sharedItems count="4">
        <s v="Rahul"/>
        <s v="Priya"/>
        <s v="Aman"/>
        <s v="Neha"/>
      </sharedItems>
    </cacheField>
    <cacheField name="Product" numFmtId="0">
      <sharedItems count="4">
        <s v="Laptop"/>
        <s v="Mobile"/>
        <s v="Chair"/>
        <s v="Table"/>
      </sharedItems>
    </cacheField>
    <cacheField name="Category" numFmtId="0">
      <sharedItems/>
    </cacheField>
    <cacheField name="Units Sold" numFmtId="0">
      <sharedItems containsSemiMixedTypes="0" containsString="0" containsNumber="1" containsInteger="1" minValue="1" maxValue="8"/>
    </cacheField>
    <cacheField name="Unit Price" numFmtId="0">
      <sharedItems containsSemiMixedTypes="0" containsString="0" containsNumber="1" containsInteger="1" minValue="3500" maxValue="45000"/>
    </cacheField>
    <cacheField name="Total Sales" numFmtId="0">
      <sharedItems containsSemiMixedTypes="0" containsString="0" containsNumber="1" containsInteger="1" minValue="14000" maxValue="144000"/>
    </cacheField>
    <cacheField name="Quarter" numFmtId="0">
      <sharedItems/>
    </cacheField>
  </cacheFields>
  <extLst>
    <ext xmlns:x14="http://schemas.microsoft.com/office/spreadsheetml/2009/9/main" uri="{725AE2AE-9491-48be-B2B4-4EB974FC3084}">
      <x14:pivotCacheDefinition pivotCacheId="1092130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001"/>
    <d v="2026-01-01T00:00:00"/>
    <s v="Jan"/>
    <x v="0"/>
    <x v="0"/>
    <x v="0"/>
    <s v="Electronics"/>
    <n v="2"/>
    <n v="45000"/>
    <n v="90000"/>
    <s v="Q1"/>
  </r>
  <r>
    <n v="1002"/>
    <d v="2026-01-02T00:00:00"/>
    <s v="Jan"/>
    <x v="1"/>
    <x v="1"/>
    <x v="1"/>
    <s v="Electronics"/>
    <n v="5"/>
    <n v="18000"/>
    <n v="90000"/>
    <s v="Q1"/>
  </r>
  <r>
    <n v="1003"/>
    <d v="2026-01-03T00:00:00"/>
    <s v="Jan"/>
    <x v="2"/>
    <x v="2"/>
    <x v="2"/>
    <s v="Furniture"/>
    <n v="4"/>
    <n v="3500"/>
    <n v="14000"/>
    <s v="Q1"/>
  </r>
  <r>
    <n v="1004"/>
    <d v="2026-01-04T00:00:00"/>
    <s v="Jan"/>
    <x v="3"/>
    <x v="3"/>
    <x v="3"/>
    <s v="Furniture"/>
    <n v="3"/>
    <n v="7000"/>
    <n v="21000"/>
    <s v="Q1"/>
  </r>
  <r>
    <n v="1005"/>
    <d v="2026-01-05T00:00:00"/>
    <s v="Jan"/>
    <x v="0"/>
    <x v="0"/>
    <x v="1"/>
    <s v="Electronics"/>
    <n v="4"/>
    <n v="18000"/>
    <n v="72000"/>
    <s v="Q1"/>
  </r>
  <r>
    <n v="1006"/>
    <d v="2026-01-06T00:00:00"/>
    <s v="Jan"/>
    <x v="1"/>
    <x v="1"/>
    <x v="0"/>
    <s v="Electronics"/>
    <n v="1"/>
    <n v="45000"/>
    <n v="45000"/>
    <s v="Q1"/>
  </r>
  <r>
    <n v="1007"/>
    <d v="2026-01-07T00:00:00"/>
    <s v="Jan"/>
    <x v="2"/>
    <x v="2"/>
    <x v="2"/>
    <s v="Furniture"/>
    <n v="6"/>
    <n v="3500"/>
    <n v="21000"/>
    <s v="Q1"/>
  </r>
  <r>
    <n v="1008"/>
    <d v="2026-01-08T00:00:00"/>
    <s v="Jan"/>
    <x v="3"/>
    <x v="3"/>
    <x v="3"/>
    <s v="Furniture"/>
    <n v="2"/>
    <n v="7000"/>
    <n v="14000"/>
    <s v="Q1"/>
  </r>
  <r>
    <n v="1009"/>
    <d v="2026-01-09T00:00:00"/>
    <s v="Jan"/>
    <x v="0"/>
    <x v="0"/>
    <x v="0"/>
    <s v="Electronics"/>
    <n v="3"/>
    <n v="45000"/>
    <n v="135000"/>
    <s v="Q1"/>
  </r>
  <r>
    <n v="1010"/>
    <d v="2026-01-10T00:00:00"/>
    <s v="Jan"/>
    <x v="1"/>
    <x v="1"/>
    <x v="1"/>
    <s v="Electronics"/>
    <n v="8"/>
    <n v="18000"/>
    <n v="144000"/>
    <s v="Q1"/>
  </r>
  <r>
    <n v="1011"/>
    <d v="2026-01-11T00:00:00"/>
    <s v="Jan"/>
    <x v="2"/>
    <x v="2"/>
    <x v="2"/>
    <s v="Furniture"/>
    <n v="5"/>
    <n v="3500"/>
    <n v="17500"/>
    <s v="Q1"/>
  </r>
  <r>
    <n v="1012"/>
    <d v="2026-01-12T00:00:00"/>
    <s v="Jan"/>
    <x v="3"/>
    <x v="3"/>
    <x v="3"/>
    <s v="Furniture"/>
    <n v="4"/>
    <n v="7000"/>
    <n v="28000"/>
    <s v="Q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B7148-3015-4717-BFB8-92BC4E9357FE}" name="PivotTable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6" firstHeaderRow="1" firstDataRow="1" firstDataCol="1"/>
  <pivotFields count="11">
    <pivotField showAll="0"/>
    <pivotField numFmtId="15" showAll="0"/>
    <pivotField showAll="0"/>
    <pivotField axis="axisRow" showAll="0">
      <items count="5">
        <item x="2"/>
        <item x="0"/>
        <item x="1"/>
        <item x="3"/>
        <item t="default"/>
      </items>
    </pivotField>
    <pivotField showAll="0">
      <items count="5">
        <item x="2"/>
        <item x="3"/>
        <item h="1" x="1"/>
        <item x="0"/>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3">
    <i>
      <x/>
    </i>
    <i>
      <x v="1"/>
    </i>
    <i>
      <x v="3"/>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D83222-F1F3-4003-BB78-B5638B9BF5E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showAll="0"/>
    <pivotField numFmtId="15" showAll="0"/>
    <pivotField showAll="0"/>
    <pivotField showAll="0"/>
    <pivotField showAll="0">
      <items count="5">
        <item x="2"/>
        <item x="3"/>
        <item h="1" x="1"/>
        <item x="0"/>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Sum of Total Sales" fld="9"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0F49F8-55D3-4B9A-AABB-17F6B0AC189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1">
    <pivotField showAll="0"/>
    <pivotField numFmtId="15" showAll="0"/>
    <pivotField showAll="0"/>
    <pivotField showAll="0"/>
    <pivotField axis="axisRow" showAll="0">
      <items count="5">
        <item x="2"/>
        <item x="3"/>
        <item h="1" x="1"/>
        <item x="0"/>
        <item t="default"/>
      </items>
    </pivotField>
    <pivotField showAll="0"/>
    <pivotField showAll="0"/>
    <pivotField showAll="0"/>
    <pivotField showAll="0"/>
    <pivotField dataField="1" showAll="0"/>
    <pivotField showAll="0"/>
  </pivotFields>
  <rowFields count="1">
    <field x="4"/>
  </rowFields>
  <rowItems count="4">
    <i>
      <x/>
    </i>
    <i>
      <x v="1"/>
    </i>
    <i>
      <x v="3"/>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6D5EE8-FC5F-474C-9C66-3145720B133E}" sourceName="Region">
  <pivotTables>
    <pivotTable tabId="3" name="PivotTable1"/>
  </pivotTables>
  <data>
    <tabular pivotCacheId="1092130256">
      <items count="4">
        <i x="2" s="1"/>
        <i x="0" s="1"/>
        <i x="3"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ED4594B-C081-4303-81FB-885BE8B43393}" sourceName="Salesperson">
  <pivotTables>
    <pivotTable tabId="3" name="PivotTable1"/>
    <pivotTable tabId="4" name="PivotTable2"/>
    <pivotTable tabId="5" name="PivotTable3"/>
  </pivotTables>
  <data>
    <tabular pivotCacheId="1092130256">
      <items count="4">
        <i x="2" s="1"/>
        <i x="3" s="1"/>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F66E67F-06FB-468F-8C34-DF17EDE8FD31}" sourceName="Product">
  <pivotTables>
    <pivotTable tabId="3" name="PivotTable1"/>
  </pivotTables>
  <data>
    <tabular pivotCacheId="109213025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3A1816-5917-4B02-99F1-204EABF7E264}" cache="Slicer_Region" caption="Region" rowHeight="234950"/>
  <slicer name="Salesperson" xr10:uid="{FEC4669F-AF94-460A-8606-2C67B21EEAB3}" cache="Slicer_Salesperson" caption="Salesperson" rowHeight="234950"/>
  <slicer name="Product" xr10:uid="{7875D997-A8CE-44C2-84B3-36451B9AAE54}"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7DD31B-19E6-4848-A22B-5821D11FC0B5}" name="Sales_Table" displayName="Sales_Table" ref="A1:K13" totalsRowShown="0" headerRowDxfId="6" dataDxfId="7">
  <autoFilter ref="A1:K13" xr:uid="{7B7DD31B-19E6-4848-A22B-5821D11FC0B5}"/>
  <tableColumns count="11">
    <tableColumn id="1" xr3:uid="{79AD2E9C-DF85-460B-9861-D69274509A5F}" name="Order ID" dataDxfId="15"/>
    <tableColumn id="2" xr3:uid="{7B1DF6FC-1DAA-4C97-803B-18A6848CCC41}" name="Date" dataDxfId="14"/>
    <tableColumn id="9" xr3:uid="{F4B540A3-F1B9-4071-8E67-3AF89C7DE7D5}" name="Month" dataDxfId="5">
      <calculatedColumnFormula>TEXT(Sales_Table[[#This Row],[Date]],"MMM")</calculatedColumnFormula>
    </tableColumn>
    <tableColumn id="3" xr3:uid="{C1543E36-C951-43D2-99B1-6A69B5D08CDD}" name="Region" dataDxfId="13"/>
    <tableColumn id="4" xr3:uid="{62E8C626-F60C-425E-A952-06B3C2210F22}" name="Salesperson" dataDxfId="12"/>
    <tableColumn id="5" xr3:uid="{CD806F91-4C0E-47C6-A76D-EA95F2F303C4}" name="Product" dataDxfId="11"/>
    <tableColumn id="6" xr3:uid="{7764C9C4-B310-474E-8F53-2E65A26F41C2}" name="Category" dataDxfId="10"/>
    <tableColumn id="7" xr3:uid="{4E8954A6-59A8-42D9-A21E-DB0ECE24CD92}" name="Units Sold" dataDxfId="9"/>
    <tableColumn id="8" xr3:uid="{4A816920-A4F6-47F1-A280-CE0229485DA5}" name="Unit Price" dataDxfId="8"/>
    <tableColumn id="10" xr3:uid="{F72E97F1-9F9D-4FBD-A93A-6F5D9B4F31A9}" name="Total Sales" dataDxfId="4">
      <calculatedColumnFormula>PRODUCT(Sales_Table[[#This Row],[Units Sold]],Sales_Table[[#This Row],[Unit Price]])</calculatedColumnFormula>
    </tableColumn>
    <tableColumn id="11" xr3:uid="{DDE91B5B-C249-4220-8EBD-F9DFE2402884}" name="Quarter" dataDxfId="3">
      <calculatedColumnFormula>"Q"&amp;ROUNDUP(MONTH(Sales_Table[[#This Row],[Date]])/3,0)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1367E-1D95-4861-9B3D-45DFB2877943}">
  <dimension ref="A3:B6"/>
  <sheetViews>
    <sheetView workbookViewId="0">
      <selection activeCell="L14" sqref="L14"/>
    </sheetView>
  </sheetViews>
  <sheetFormatPr defaultRowHeight="14.4" x14ac:dyDescent="0.3"/>
  <cols>
    <col min="1" max="1" width="12.5546875" bestFit="1" customWidth="1"/>
    <col min="2" max="2" width="16.44140625" bestFit="1" customWidth="1"/>
  </cols>
  <sheetData>
    <row r="3" spans="1:2" x14ac:dyDescent="0.3">
      <c r="A3" s="4" t="s">
        <v>25</v>
      </c>
      <c r="B3" t="s">
        <v>27</v>
      </c>
    </row>
    <row r="4" spans="1:2" x14ac:dyDescent="0.3">
      <c r="A4" s="5" t="s">
        <v>15</v>
      </c>
      <c r="B4" s="6">
        <v>52500</v>
      </c>
    </row>
    <row r="5" spans="1:2" x14ac:dyDescent="0.3">
      <c r="A5" s="5" t="s">
        <v>8</v>
      </c>
      <c r="B5" s="6">
        <v>297000</v>
      </c>
    </row>
    <row r="6" spans="1:2" x14ac:dyDescent="0.3">
      <c r="A6" s="5" t="s">
        <v>19</v>
      </c>
      <c r="B6" s="6">
        <v>63000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28BDE-4673-45A3-9BE3-35C3558EE29C}">
  <dimension ref="A3:B8"/>
  <sheetViews>
    <sheetView workbookViewId="0">
      <selection activeCell="M11" sqref="M11"/>
    </sheetView>
  </sheetViews>
  <sheetFormatPr defaultRowHeight="14.4" x14ac:dyDescent="0.3"/>
  <cols>
    <col min="1" max="1" width="12.5546875" bestFit="1" customWidth="1"/>
    <col min="2" max="2" width="16.44140625" bestFit="1" customWidth="1"/>
  </cols>
  <sheetData>
    <row r="3" spans="1:2" x14ac:dyDescent="0.3">
      <c r="A3" s="4" t="s">
        <v>25</v>
      </c>
      <c r="B3" t="s">
        <v>27</v>
      </c>
    </row>
    <row r="4" spans="1:2" x14ac:dyDescent="0.3">
      <c r="A4" s="5" t="s">
        <v>17</v>
      </c>
      <c r="B4" s="6">
        <v>52500</v>
      </c>
    </row>
    <row r="5" spans="1:2" x14ac:dyDescent="0.3">
      <c r="A5" s="5" t="s">
        <v>10</v>
      </c>
      <c r="B5" s="6">
        <v>225000</v>
      </c>
    </row>
    <row r="6" spans="1:2" x14ac:dyDescent="0.3">
      <c r="A6" s="5" t="s">
        <v>14</v>
      </c>
      <c r="B6" s="6">
        <v>72000</v>
      </c>
    </row>
    <row r="7" spans="1:2" x14ac:dyDescent="0.3">
      <c r="A7" s="5" t="s">
        <v>21</v>
      </c>
      <c r="B7" s="6">
        <v>63000</v>
      </c>
    </row>
    <row r="8" spans="1:2" x14ac:dyDescent="0.3">
      <c r="A8" s="5" t="s">
        <v>26</v>
      </c>
      <c r="B8" s="6">
        <v>412500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910B-FC17-4930-A47B-776C0CB7D959}">
  <dimension ref="A3:B7"/>
  <sheetViews>
    <sheetView workbookViewId="0">
      <selection activeCell="L9" sqref="L9"/>
    </sheetView>
  </sheetViews>
  <sheetFormatPr defaultRowHeight="14.4" x14ac:dyDescent="0.3"/>
  <cols>
    <col min="1" max="1" width="12.5546875" bestFit="1" customWidth="1"/>
    <col min="2" max="2" width="16.44140625" bestFit="1" customWidth="1"/>
  </cols>
  <sheetData>
    <row r="3" spans="1:2" x14ac:dyDescent="0.3">
      <c r="A3" s="4" t="s">
        <v>25</v>
      </c>
      <c r="B3" t="s">
        <v>27</v>
      </c>
    </row>
    <row r="4" spans="1:2" x14ac:dyDescent="0.3">
      <c r="A4" s="5" t="s">
        <v>16</v>
      </c>
      <c r="B4" s="6">
        <v>52500</v>
      </c>
    </row>
    <row r="5" spans="1:2" x14ac:dyDescent="0.3">
      <c r="A5" s="5" t="s">
        <v>20</v>
      </c>
      <c r="B5" s="6">
        <v>63000</v>
      </c>
    </row>
    <row r="6" spans="1:2" x14ac:dyDescent="0.3">
      <c r="A6" s="5" t="s">
        <v>9</v>
      </c>
      <c r="B6" s="6">
        <v>297000</v>
      </c>
    </row>
    <row r="7" spans="1:2" x14ac:dyDescent="0.3">
      <c r="A7" s="5" t="s">
        <v>26</v>
      </c>
      <c r="B7" s="6">
        <v>412500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1DF4-2B03-43F5-BA6E-924D5059214E}">
  <dimension ref="A1:K13"/>
  <sheetViews>
    <sheetView workbookViewId="0">
      <selection activeCell="E10" sqref="E10"/>
    </sheetView>
  </sheetViews>
  <sheetFormatPr defaultRowHeight="14.4" x14ac:dyDescent="0.3"/>
  <cols>
    <col min="1" max="1" width="9.88671875" customWidth="1"/>
    <col min="5" max="5" width="12.88671875" customWidth="1"/>
    <col min="6" max="6" width="9.5546875" customWidth="1"/>
    <col min="7" max="7" width="10.44140625" customWidth="1"/>
    <col min="8" max="8" width="11.33203125" customWidth="1"/>
    <col min="9" max="9" width="11" customWidth="1"/>
  </cols>
  <sheetData>
    <row r="1" spans="1:11" ht="28.8" x14ac:dyDescent="0.3">
      <c r="A1" s="1" t="s">
        <v>0</v>
      </c>
      <c r="B1" s="1" t="s">
        <v>1</v>
      </c>
      <c r="C1" s="1" t="s">
        <v>22</v>
      </c>
      <c r="D1" s="1" t="s">
        <v>2</v>
      </c>
      <c r="E1" s="1" t="s">
        <v>3</v>
      </c>
      <c r="F1" s="1" t="s">
        <v>4</v>
      </c>
      <c r="G1" s="1" t="s">
        <v>5</v>
      </c>
      <c r="H1" s="1" t="s">
        <v>6</v>
      </c>
      <c r="I1" s="1" t="s">
        <v>7</v>
      </c>
      <c r="J1" s="1" t="s">
        <v>24</v>
      </c>
      <c r="K1" s="1" t="s">
        <v>23</v>
      </c>
    </row>
    <row r="2" spans="1:11" x14ac:dyDescent="0.3">
      <c r="A2" s="2">
        <v>1001</v>
      </c>
      <c r="B2" s="3">
        <v>46023</v>
      </c>
      <c r="C2" s="3" t="str">
        <f>TEXT(Sales_Table[[#This Row],[Date]],"MMM")</f>
        <v>Jan</v>
      </c>
      <c r="D2" s="2" t="s">
        <v>8</v>
      </c>
      <c r="E2" s="2" t="s">
        <v>9</v>
      </c>
      <c r="F2" s="2" t="s">
        <v>10</v>
      </c>
      <c r="G2" s="2" t="s">
        <v>11</v>
      </c>
      <c r="H2" s="2">
        <v>2</v>
      </c>
      <c r="I2" s="2">
        <v>45000</v>
      </c>
      <c r="J2" s="2">
        <f>PRODUCT(Sales_Table[[#This Row],[Units Sold]],Sales_Table[[#This Row],[Unit Price]])</f>
        <v>90000</v>
      </c>
      <c r="K2" s="2" t="str">
        <f>"Q"&amp;ROUNDUP(MONTH(Sales_Table[[#This Row],[Date]])/3,0)</f>
        <v>Q1</v>
      </c>
    </row>
    <row r="3" spans="1:11" x14ac:dyDescent="0.3">
      <c r="A3" s="2">
        <v>1002</v>
      </c>
      <c r="B3" s="3">
        <v>46024</v>
      </c>
      <c r="C3" s="3" t="str">
        <f>TEXT(Sales_Table[[#This Row],[Date]],"MMM")</f>
        <v>Jan</v>
      </c>
      <c r="D3" s="2" t="s">
        <v>12</v>
      </c>
      <c r="E3" s="2" t="s">
        <v>13</v>
      </c>
      <c r="F3" s="2" t="s">
        <v>14</v>
      </c>
      <c r="G3" s="2" t="s">
        <v>11</v>
      </c>
      <c r="H3" s="2">
        <v>5</v>
      </c>
      <c r="I3" s="2">
        <v>18000</v>
      </c>
      <c r="J3" s="2">
        <f>PRODUCT(Sales_Table[[#This Row],[Units Sold]],Sales_Table[[#This Row],[Unit Price]])</f>
        <v>90000</v>
      </c>
      <c r="K3" s="2" t="str">
        <f>"Q"&amp;ROUNDUP(MONTH(Sales_Table[[#This Row],[Date]])/3,0)</f>
        <v>Q1</v>
      </c>
    </row>
    <row r="4" spans="1:11" x14ac:dyDescent="0.3">
      <c r="A4" s="2">
        <v>1003</v>
      </c>
      <c r="B4" s="3">
        <v>46025</v>
      </c>
      <c r="C4" s="3" t="str">
        <f>TEXT(Sales_Table[[#This Row],[Date]],"MMM")</f>
        <v>Jan</v>
      </c>
      <c r="D4" s="2" t="s">
        <v>15</v>
      </c>
      <c r="E4" s="2" t="s">
        <v>16</v>
      </c>
      <c r="F4" s="2" t="s">
        <v>17</v>
      </c>
      <c r="G4" s="2" t="s">
        <v>18</v>
      </c>
      <c r="H4" s="2">
        <v>4</v>
      </c>
      <c r="I4" s="2">
        <v>3500</v>
      </c>
      <c r="J4" s="2">
        <f>PRODUCT(Sales_Table[[#This Row],[Units Sold]],Sales_Table[[#This Row],[Unit Price]])</f>
        <v>14000</v>
      </c>
      <c r="K4" s="2" t="str">
        <f>"Q"&amp;ROUNDUP(MONTH(Sales_Table[[#This Row],[Date]])/3,0)</f>
        <v>Q1</v>
      </c>
    </row>
    <row r="5" spans="1:11" x14ac:dyDescent="0.3">
      <c r="A5" s="2">
        <v>1004</v>
      </c>
      <c r="B5" s="3">
        <v>46026</v>
      </c>
      <c r="C5" s="3" t="str">
        <f>TEXT(Sales_Table[[#This Row],[Date]],"MMM")</f>
        <v>Jan</v>
      </c>
      <c r="D5" s="2" t="s">
        <v>19</v>
      </c>
      <c r="E5" s="2" t="s">
        <v>20</v>
      </c>
      <c r="F5" s="2" t="s">
        <v>21</v>
      </c>
      <c r="G5" s="2" t="s">
        <v>18</v>
      </c>
      <c r="H5" s="2">
        <v>3</v>
      </c>
      <c r="I5" s="2">
        <v>7000</v>
      </c>
      <c r="J5" s="2">
        <f>PRODUCT(Sales_Table[[#This Row],[Units Sold]],Sales_Table[[#This Row],[Unit Price]])</f>
        <v>21000</v>
      </c>
      <c r="K5" s="2" t="str">
        <f>"Q"&amp;ROUNDUP(MONTH(Sales_Table[[#This Row],[Date]])/3,0)</f>
        <v>Q1</v>
      </c>
    </row>
    <row r="6" spans="1:11" x14ac:dyDescent="0.3">
      <c r="A6" s="2">
        <v>1005</v>
      </c>
      <c r="B6" s="3">
        <v>46027</v>
      </c>
      <c r="C6" s="3" t="str">
        <f>TEXT(Sales_Table[[#This Row],[Date]],"MMM")</f>
        <v>Jan</v>
      </c>
      <c r="D6" s="2" t="s">
        <v>8</v>
      </c>
      <c r="E6" s="2" t="s">
        <v>9</v>
      </c>
      <c r="F6" s="2" t="s">
        <v>14</v>
      </c>
      <c r="G6" s="2" t="s">
        <v>11</v>
      </c>
      <c r="H6" s="2">
        <v>4</v>
      </c>
      <c r="I6" s="2">
        <v>18000</v>
      </c>
      <c r="J6" s="2">
        <f>PRODUCT(Sales_Table[[#This Row],[Units Sold]],Sales_Table[[#This Row],[Unit Price]])</f>
        <v>72000</v>
      </c>
      <c r="K6" s="2" t="str">
        <f>"Q"&amp;ROUNDUP(MONTH(Sales_Table[[#This Row],[Date]])/3,0)</f>
        <v>Q1</v>
      </c>
    </row>
    <row r="7" spans="1:11" x14ac:dyDescent="0.3">
      <c r="A7" s="2">
        <v>1006</v>
      </c>
      <c r="B7" s="3">
        <v>46028</v>
      </c>
      <c r="C7" s="3" t="str">
        <f>TEXT(Sales_Table[[#This Row],[Date]],"MMM")</f>
        <v>Jan</v>
      </c>
      <c r="D7" s="2" t="s">
        <v>12</v>
      </c>
      <c r="E7" s="2" t="s">
        <v>13</v>
      </c>
      <c r="F7" s="2" t="s">
        <v>10</v>
      </c>
      <c r="G7" s="2" t="s">
        <v>11</v>
      </c>
      <c r="H7" s="2">
        <v>1</v>
      </c>
      <c r="I7" s="2">
        <v>45000</v>
      </c>
      <c r="J7" s="2">
        <f>PRODUCT(Sales_Table[[#This Row],[Units Sold]],Sales_Table[[#This Row],[Unit Price]])</f>
        <v>45000</v>
      </c>
      <c r="K7" s="2" t="str">
        <f>"Q"&amp;ROUNDUP(MONTH(Sales_Table[[#This Row],[Date]])/3,0)</f>
        <v>Q1</v>
      </c>
    </row>
    <row r="8" spans="1:11" x14ac:dyDescent="0.3">
      <c r="A8" s="2">
        <v>1007</v>
      </c>
      <c r="B8" s="3">
        <v>46029</v>
      </c>
      <c r="C8" s="3" t="str">
        <f>TEXT(Sales_Table[[#This Row],[Date]],"MMM")</f>
        <v>Jan</v>
      </c>
      <c r="D8" s="2" t="s">
        <v>15</v>
      </c>
      <c r="E8" s="2" t="s">
        <v>16</v>
      </c>
      <c r="F8" s="2" t="s">
        <v>17</v>
      </c>
      <c r="G8" s="2" t="s">
        <v>18</v>
      </c>
      <c r="H8" s="2">
        <v>6</v>
      </c>
      <c r="I8" s="2">
        <v>3500</v>
      </c>
      <c r="J8" s="2">
        <f>PRODUCT(Sales_Table[[#This Row],[Units Sold]],Sales_Table[[#This Row],[Unit Price]])</f>
        <v>21000</v>
      </c>
      <c r="K8" s="2" t="str">
        <f>"Q"&amp;ROUNDUP(MONTH(Sales_Table[[#This Row],[Date]])/3,0)</f>
        <v>Q1</v>
      </c>
    </row>
    <row r="9" spans="1:11" x14ac:dyDescent="0.3">
      <c r="A9" s="2">
        <v>1008</v>
      </c>
      <c r="B9" s="3">
        <v>46030</v>
      </c>
      <c r="C9" s="3" t="str">
        <f>TEXT(Sales_Table[[#This Row],[Date]],"MMM")</f>
        <v>Jan</v>
      </c>
      <c r="D9" s="2" t="s">
        <v>19</v>
      </c>
      <c r="E9" s="2" t="s">
        <v>20</v>
      </c>
      <c r="F9" s="2" t="s">
        <v>21</v>
      </c>
      <c r="G9" s="2" t="s">
        <v>18</v>
      </c>
      <c r="H9" s="2">
        <v>2</v>
      </c>
      <c r="I9" s="2">
        <v>7000</v>
      </c>
      <c r="J9" s="2">
        <f>PRODUCT(Sales_Table[[#This Row],[Units Sold]],Sales_Table[[#This Row],[Unit Price]])</f>
        <v>14000</v>
      </c>
      <c r="K9" s="2" t="str">
        <f>"Q"&amp;ROUNDUP(MONTH(Sales_Table[[#This Row],[Date]])/3,0)</f>
        <v>Q1</v>
      </c>
    </row>
    <row r="10" spans="1:11" x14ac:dyDescent="0.3">
      <c r="A10" s="2">
        <v>1009</v>
      </c>
      <c r="B10" s="3">
        <v>46031</v>
      </c>
      <c r="C10" s="3" t="str">
        <f>TEXT(Sales_Table[[#This Row],[Date]],"MMM")</f>
        <v>Jan</v>
      </c>
      <c r="D10" s="2" t="s">
        <v>8</v>
      </c>
      <c r="E10" s="2" t="s">
        <v>9</v>
      </c>
      <c r="F10" s="2" t="s">
        <v>10</v>
      </c>
      <c r="G10" s="2" t="s">
        <v>11</v>
      </c>
      <c r="H10" s="2">
        <v>3</v>
      </c>
      <c r="I10" s="2">
        <v>45000</v>
      </c>
      <c r="J10" s="2">
        <f>PRODUCT(Sales_Table[[#This Row],[Units Sold]],Sales_Table[[#This Row],[Unit Price]])</f>
        <v>135000</v>
      </c>
      <c r="K10" s="2" t="str">
        <f>"Q"&amp;ROUNDUP(MONTH(Sales_Table[[#This Row],[Date]])/3,0)</f>
        <v>Q1</v>
      </c>
    </row>
    <row r="11" spans="1:11" x14ac:dyDescent="0.3">
      <c r="A11" s="2">
        <v>1010</v>
      </c>
      <c r="B11" s="3">
        <v>46032</v>
      </c>
      <c r="C11" s="3" t="str">
        <f>TEXT(Sales_Table[[#This Row],[Date]],"MMM")</f>
        <v>Jan</v>
      </c>
      <c r="D11" s="2" t="s">
        <v>12</v>
      </c>
      <c r="E11" s="2" t="s">
        <v>13</v>
      </c>
      <c r="F11" s="2" t="s">
        <v>14</v>
      </c>
      <c r="G11" s="2" t="s">
        <v>11</v>
      </c>
      <c r="H11" s="2">
        <v>8</v>
      </c>
      <c r="I11" s="2">
        <v>18000</v>
      </c>
      <c r="J11" s="2">
        <f>PRODUCT(Sales_Table[[#This Row],[Units Sold]],Sales_Table[[#This Row],[Unit Price]])</f>
        <v>144000</v>
      </c>
      <c r="K11" s="2" t="str">
        <f>"Q"&amp;ROUNDUP(MONTH(Sales_Table[[#This Row],[Date]])/3,0)</f>
        <v>Q1</v>
      </c>
    </row>
    <row r="12" spans="1:11" x14ac:dyDescent="0.3">
      <c r="A12" s="2">
        <v>1011</v>
      </c>
      <c r="B12" s="3">
        <v>46033</v>
      </c>
      <c r="C12" s="3" t="str">
        <f>TEXT(Sales_Table[[#This Row],[Date]],"MMM")</f>
        <v>Jan</v>
      </c>
      <c r="D12" s="2" t="s">
        <v>15</v>
      </c>
      <c r="E12" s="2" t="s">
        <v>16</v>
      </c>
      <c r="F12" s="2" t="s">
        <v>17</v>
      </c>
      <c r="G12" s="2" t="s">
        <v>18</v>
      </c>
      <c r="H12" s="2">
        <v>5</v>
      </c>
      <c r="I12" s="2">
        <v>3500</v>
      </c>
      <c r="J12" s="2">
        <f>PRODUCT(Sales_Table[[#This Row],[Units Sold]],Sales_Table[[#This Row],[Unit Price]])</f>
        <v>17500</v>
      </c>
      <c r="K12" s="2" t="str">
        <f>"Q"&amp;ROUNDUP(MONTH(Sales_Table[[#This Row],[Date]])/3,0)</f>
        <v>Q1</v>
      </c>
    </row>
    <row r="13" spans="1:11" x14ac:dyDescent="0.3">
      <c r="A13" s="2">
        <v>1012</v>
      </c>
      <c r="B13" s="3">
        <v>46034</v>
      </c>
      <c r="C13" s="3" t="str">
        <f>TEXT(Sales_Table[[#This Row],[Date]],"MMM")</f>
        <v>Jan</v>
      </c>
      <c r="D13" s="2" t="s">
        <v>19</v>
      </c>
      <c r="E13" s="2" t="s">
        <v>20</v>
      </c>
      <c r="F13" s="2" t="s">
        <v>21</v>
      </c>
      <c r="G13" s="2" t="s">
        <v>18</v>
      </c>
      <c r="H13" s="2">
        <v>4</v>
      </c>
      <c r="I13" s="2">
        <v>7000</v>
      </c>
      <c r="J13" s="2">
        <f>PRODUCT(Sales_Table[[#This Row],[Units Sold]],Sales_Table[[#This Row],[Unit Price]])</f>
        <v>28000</v>
      </c>
      <c r="K13" s="2" t="str">
        <f>"Q"&amp;ROUNDUP(MONTH(Sales_Table[[#This Row],[Date]])/3,0)</f>
        <v>Q1</v>
      </c>
    </row>
  </sheetData>
  <conditionalFormatting sqref="J1:J1048576">
    <cfRule type="dataBar" priority="3">
      <dataBar>
        <cfvo type="min"/>
        <cfvo type="max"/>
        <color rgb="FFFFB628"/>
      </dataBar>
      <extLst>
        <ext xmlns:x14="http://schemas.microsoft.com/office/spreadsheetml/2009/9/main" uri="{B025F937-C7B1-47D3-B67F-A62EFF666E3E}">
          <x14:id>{1D5997FE-9585-4E45-BE87-4B708FAC4504}</x14:id>
        </ext>
      </extLst>
    </cfRule>
    <cfRule type="cellIs" dxfId="2" priority="4" operator="greaterThan">
      <formula>100000</formula>
    </cfRule>
  </conditionalFormatting>
  <conditionalFormatting sqref="J2:J13">
    <cfRule type="top10" dxfId="1" priority="1" rank="3"/>
    <cfRule type="top10" dxfId="0" priority="2" rank="3"/>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D5997FE-9585-4E45-BE87-4B708FAC4504}">
            <x14:dataBar minLength="0" maxLength="100" border="1" negativeBarBorderColorSameAsPositive="0">
              <x14:cfvo type="autoMin"/>
              <x14:cfvo type="autoMax"/>
              <x14:borderColor rgb="FFFFB628"/>
              <x14:negativeFillColor rgb="FFFF0000"/>
              <x14:negativeBorderColor rgb="FFFF0000"/>
              <x14:axisColor rgb="FF000000"/>
            </x14:dataBar>
          </x14:cfRule>
          <xm:sqref>J1:J1048576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CF278-9078-491F-BA6C-611C188738B7}">
  <dimension ref="A1:Q46"/>
  <sheetViews>
    <sheetView tabSelected="1" zoomScale="82" workbookViewId="0"/>
  </sheetViews>
  <sheetFormatPr defaultRowHeight="14.4" x14ac:dyDescent="0.3"/>
  <cols>
    <col min="1" max="1" width="11.33203125" customWidth="1"/>
    <col min="5" max="5" width="13.109375" bestFit="1" customWidth="1"/>
    <col min="6" max="6" width="11.21875" bestFit="1" customWidth="1"/>
    <col min="7" max="7" width="5.33203125" bestFit="1" customWidth="1"/>
    <col min="8" max="8" width="12.5546875" bestFit="1" customWidth="1"/>
    <col min="11" max="11" width="13.88671875" bestFit="1" customWidth="1"/>
    <col min="12" max="12" width="9.88671875" customWidth="1"/>
  </cols>
  <sheetData>
    <row r="1" spans="1:17" x14ac:dyDescent="0.3">
      <c r="A1" s="7"/>
      <c r="B1" s="7"/>
      <c r="C1" s="7"/>
      <c r="D1" s="8" t="s">
        <v>28</v>
      </c>
      <c r="E1" s="9"/>
      <c r="F1" s="9"/>
      <c r="G1" s="9"/>
      <c r="H1" s="9"/>
      <c r="I1" s="9"/>
      <c r="J1" s="9"/>
      <c r="K1" s="9"/>
      <c r="L1" s="9"/>
      <c r="M1" s="7"/>
      <c r="N1" s="7"/>
      <c r="O1" s="7"/>
      <c r="P1" s="7"/>
      <c r="Q1" s="7"/>
    </row>
    <row r="2" spans="1:17" x14ac:dyDescent="0.3">
      <c r="A2" s="7"/>
      <c r="B2" s="7"/>
      <c r="C2" s="7"/>
      <c r="D2" s="10"/>
      <c r="E2" s="9"/>
      <c r="F2" s="9"/>
      <c r="G2" s="9"/>
      <c r="H2" s="9"/>
      <c r="I2" s="9"/>
      <c r="J2" s="9"/>
      <c r="K2" s="9"/>
      <c r="L2" s="9"/>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x14ac:dyDescent="0.3">
      <c r="A26" s="7"/>
      <c r="B26" s="7"/>
      <c r="C26" s="7"/>
      <c r="D26" s="7"/>
      <c r="E26" s="7"/>
      <c r="F26" s="7"/>
      <c r="G26" s="7"/>
      <c r="H26" s="7"/>
      <c r="I26" s="7"/>
      <c r="J26" s="7"/>
      <c r="K26" s="7"/>
      <c r="L26" s="7"/>
      <c r="M26" s="7"/>
      <c r="N26" s="7"/>
      <c r="O26" s="7"/>
      <c r="P26" s="7"/>
      <c r="Q26" s="7"/>
    </row>
    <row r="27" spans="1:17" x14ac:dyDescent="0.3">
      <c r="A27" s="7"/>
      <c r="B27" s="7"/>
      <c r="C27" s="7"/>
      <c r="D27" s="7"/>
      <c r="E27" s="7"/>
      <c r="F27" s="7"/>
      <c r="G27" s="7"/>
      <c r="H27" s="7"/>
      <c r="I27" s="7"/>
      <c r="J27" s="7"/>
      <c r="K27" s="7"/>
      <c r="L27" s="7"/>
      <c r="M27" s="7"/>
      <c r="N27" s="7"/>
      <c r="O27" s="7"/>
      <c r="P27" s="7"/>
      <c r="Q27" s="7"/>
    </row>
    <row r="28" spans="1:17" x14ac:dyDescent="0.3">
      <c r="A28" s="7"/>
      <c r="B28" s="7"/>
      <c r="C28" s="7"/>
      <c r="D28" s="7"/>
      <c r="E28" s="7"/>
      <c r="F28" s="7"/>
      <c r="G28" s="7"/>
      <c r="H28" s="7"/>
      <c r="I28" s="7"/>
      <c r="J28" s="7"/>
      <c r="K28" s="7"/>
      <c r="L28" s="7"/>
      <c r="M28" s="7"/>
      <c r="N28" s="7"/>
      <c r="O28" s="7"/>
      <c r="P28" s="7"/>
      <c r="Q28" s="7"/>
    </row>
    <row r="29" spans="1:17" x14ac:dyDescent="0.3">
      <c r="A29" s="7"/>
      <c r="B29" s="7"/>
      <c r="C29" s="7"/>
      <c r="D29" s="7"/>
      <c r="E29" s="7"/>
      <c r="F29" s="7"/>
      <c r="G29" s="7"/>
      <c r="H29" s="7"/>
      <c r="I29" s="7"/>
      <c r="J29" s="7"/>
      <c r="K29" s="7"/>
      <c r="L29" s="7"/>
      <c r="M29" s="7"/>
      <c r="N29" s="7"/>
      <c r="O29" s="7"/>
      <c r="P29" s="7"/>
      <c r="Q29" s="7"/>
    </row>
    <row r="30" spans="1:17" x14ac:dyDescent="0.3">
      <c r="A30" s="7"/>
      <c r="B30" s="7"/>
      <c r="C30" s="7"/>
      <c r="D30" s="7"/>
      <c r="E30" s="7"/>
      <c r="F30" s="7"/>
      <c r="G30" s="7"/>
      <c r="H30" s="7"/>
      <c r="I30" s="7"/>
      <c r="J30" s="7"/>
      <c r="K30" s="7"/>
      <c r="L30" s="7"/>
      <c r="M30" s="7"/>
      <c r="N30" s="7"/>
      <c r="O30" s="7"/>
      <c r="P30" s="7"/>
      <c r="Q30" s="7"/>
    </row>
    <row r="31" spans="1:17" x14ac:dyDescent="0.3">
      <c r="A31" s="7"/>
      <c r="B31" s="7"/>
      <c r="C31" s="7"/>
      <c r="D31" s="7"/>
      <c r="E31" s="7"/>
      <c r="F31" s="7"/>
      <c r="G31" s="7"/>
      <c r="H31" s="7"/>
      <c r="I31" s="7"/>
      <c r="J31" s="7"/>
      <c r="K31" s="7"/>
      <c r="L31" s="7"/>
      <c r="M31" s="7"/>
      <c r="N31" s="7"/>
      <c r="O31" s="7"/>
      <c r="P31" s="7"/>
      <c r="Q31" s="7"/>
    </row>
    <row r="32" spans="1:17" x14ac:dyDescent="0.3">
      <c r="A32" s="7"/>
      <c r="B32" s="7"/>
      <c r="C32" s="7"/>
      <c r="D32" s="7"/>
      <c r="E32" s="7"/>
      <c r="F32" s="7"/>
      <c r="G32" s="7"/>
      <c r="H32" s="7"/>
      <c r="I32" s="7"/>
      <c r="J32" s="7"/>
      <c r="K32" s="7"/>
      <c r="L32" s="7"/>
      <c r="M32" s="7"/>
      <c r="N32" s="7"/>
      <c r="O32" s="7"/>
      <c r="P32" s="7"/>
      <c r="Q32" s="7"/>
    </row>
    <row r="33" spans="1:17" x14ac:dyDescent="0.3">
      <c r="A33" s="7"/>
      <c r="B33" s="7"/>
      <c r="C33" s="7"/>
      <c r="D33" s="7"/>
      <c r="E33" s="7"/>
      <c r="F33" s="7"/>
      <c r="G33" s="7"/>
      <c r="H33" s="7"/>
      <c r="I33" s="7"/>
      <c r="J33" s="7"/>
      <c r="K33" s="7"/>
      <c r="L33" s="7"/>
      <c r="M33" s="7"/>
      <c r="N33" s="7"/>
      <c r="O33" s="7"/>
      <c r="P33" s="7"/>
      <c r="Q33" s="7"/>
    </row>
    <row r="34" spans="1:17" x14ac:dyDescent="0.3">
      <c r="A34" s="7"/>
      <c r="B34" s="7"/>
      <c r="C34" s="7"/>
      <c r="D34" s="7"/>
      <c r="E34" s="7"/>
      <c r="F34" s="7"/>
      <c r="G34" s="7"/>
      <c r="H34" s="7"/>
      <c r="I34" s="7"/>
      <c r="J34" s="7"/>
      <c r="K34" s="7"/>
      <c r="L34" s="7"/>
      <c r="M34" s="7"/>
      <c r="N34" s="7"/>
      <c r="O34" s="7"/>
      <c r="P34" s="7"/>
      <c r="Q34" s="7"/>
    </row>
    <row r="35" spans="1:17" x14ac:dyDescent="0.3">
      <c r="A35" s="7"/>
      <c r="B35" s="7"/>
      <c r="C35" s="7"/>
      <c r="D35" s="7"/>
      <c r="E35" s="7"/>
      <c r="F35" s="7"/>
      <c r="G35" s="7"/>
      <c r="H35" s="7"/>
      <c r="I35" s="7"/>
      <c r="J35" s="7"/>
      <c r="K35" s="7"/>
      <c r="L35" s="7"/>
      <c r="M35" s="7"/>
      <c r="N35" s="7"/>
      <c r="O35" s="7"/>
      <c r="P35" s="7"/>
      <c r="Q35" s="7"/>
    </row>
    <row r="36" spans="1:17" x14ac:dyDescent="0.3">
      <c r="A36" s="7"/>
      <c r="B36" s="7"/>
      <c r="C36" s="7"/>
      <c r="D36" s="7"/>
      <c r="E36" s="7"/>
      <c r="F36" s="7"/>
      <c r="G36" s="7"/>
      <c r="H36" s="7"/>
      <c r="I36" s="7"/>
      <c r="J36" s="7"/>
      <c r="K36" s="7"/>
      <c r="L36" s="7"/>
      <c r="M36" s="7"/>
      <c r="N36" s="7"/>
      <c r="O36" s="7"/>
      <c r="P36" s="7"/>
      <c r="Q36" s="7"/>
    </row>
    <row r="37" spans="1:17" x14ac:dyDescent="0.3">
      <c r="A37" s="7"/>
      <c r="B37" s="7"/>
      <c r="C37" s="7"/>
      <c r="D37" s="7"/>
      <c r="E37" s="7"/>
      <c r="F37" s="7"/>
      <c r="G37" s="7"/>
      <c r="H37" s="7"/>
      <c r="I37" s="7"/>
      <c r="J37" s="7"/>
      <c r="K37" s="7"/>
      <c r="L37" s="7"/>
      <c r="M37" s="7"/>
      <c r="N37" s="7"/>
      <c r="O37" s="7"/>
      <c r="P37" s="7"/>
      <c r="Q37" s="7"/>
    </row>
    <row r="38" spans="1:17" x14ac:dyDescent="0.3">
      <c r="A38" s="7"/>
      <c r="B38" s="7"/>
      <c r="C38" s="7"/>
      <c r="D38" s="7"/>
      <c r="E38" s="7"/>
      <c r="F38" s="7"/>
      <c r="G38" s="7"/>
      <c r="H38" s="7"/>
      <c r="I38" s="7"/>
      <c r="J38" s="7"/>
      <c r="K38" s="7"/>
      <c r="L38" s="7"/>
      <c r="M38" s="7"/>
      <c r="N38" s="7"/>
      <c r="O38" s="7"/>
      <c r="P38" s="7"/>
      <c r="Q38" s="7"/>
    </row>
    <row r="39" spans="1:17" x14ac:dyDescent="0.3">
      <c r="A39" s="7"/>
      <c r="B39" s="7"/>
      <c r="C39" s="7"/>
      <c r="D39" s="7"/>
      <c r="E39" s="7"/>
      <c r="F39" s="7"/>
      <c r="G39" s="7"/>
      <c r="H39" s="7"/>
      <c r="I39" s="7"/>
      <c r="J39" s="7"/>
      <c r="K39" s="7"/>
      <c r="L39" s="7"/>
      <c r="M39" s="7"/>
      <c r="N39" s="7"/>
      <c r="O39" s="7"/>
      <c r="P39" s="7"/>
      <c r="Q39" s="7"/>
    </row>
    <row r="40" spans="1:17" x14ac:dyDescent="0.3">
      <c r="A40" s="7"/>
      <c r="B40" s="7"/>
      <c r="C40" s="7"/>
      <c r="D40" s="7"/>
      <c r="E40" s="7"/>
      <c r="F40" s="7"/>
      <c r="G40" s="7"/>
      <c r="H40" s="7"/>
      <c r="I40" s="7"/>
      <c r="J40" s="7"/>
      <c r="K40" s="7"/>
      <c r="L40" s="7"/>
      <c r="M40" s="7"/>
      <c r="N40" s="7"/>
      <c r="O40" s="7"/>
      <c r="P40" s="7"/>
      <c r="Q40" s="7"/>
    </row>
    <row r="41" spans="1:17" x14ac:dyDescent="0.3">
      <c r="A41" s="7"/>
      <c r="B41" s="7"/>
      <c r="C41" s="7"/>
      <c r="D41" s="7"/>
      <c r="E41" s="7"/>
      <c r="F41" s="7"/>
      <c r="G41" s="7"/>
      <c r="H41" s="7"/>
      <c r="I41" s="7"/>
      <c r="J41" s="7"/>
      <c r="K41" s="7"/>
      <c r="L41" s="7"/>
      <c r="M41" s="7"/>
      <c r="N41" s="7"/>
      <c r="O41" s="7"/>
      <c r="P41" s="7"/>
      <c r="Q41" s="7"/>
    </row>
    <row r="42" spans="1:17" x14ac:dyDescent="0.3">
      <c r="A42" s="7"/>
      <c r="B42" s="7"/>
      <c r="C42" s="7"/>
      <c r="D42" s="7"/>
      <c r="E42" s="7"/>
      <c r="F42" s="7"/>
      <c r="G42" s="7"/>
      <c r="H42" s="7"/>
      <c r="I42" s="7"/>
      <c r="J42" s="7"/>
      <c r="K42" s="7"/>
      <c r="L42" s="7"/>
      <c r="M42" s="7"/>
      <c r="N42" s="7"/>
      <c r="O42" s="7"/>
      <c r="P42" s="7"/>
      <c r="Q42" s="7"/>
    </row>
    <row r="43" spans="1:17" x14ac:dyDescent="0.3">
      <c r="A43" s="7"/>
      <c r="B43" s="7"/>
      <c r="C43" s="7"/>
      <c r="D43" s="7"/>
      <c r="E43" s="7"/>
      <c r="F43" s="7"/>
      <c r="G43" s="7"/>
      <c r="H43" s="7"/>
      <c r="I43" s="7"/>
      <c r="J43" s="7"/>
      <c r="K43" s="7"/>
      <c r="L43" s="7"/>
      <c r="M43" s="7"/>
      <c r="N43" s="7"/>
      <c r="O43" s="7"/>
      <c r="P43" s="7"/>
      <c r="Q43" s="7"/>
    </row>
    <row r="44" spans="1:17" x14ac:dyDescent="0.3">
      <c r="A44" s="7"/>
      <c r="B44" s="7"/>
      <c r="C44" s="7"/>
      <c r="D44" s="7"/>
      <c r="E44" s="7"/>
      <c r="F44" s="7"/>
      <c r="G44" s="7"/>
      <c r="H44" s="7"/>
      <c r="I44" s="7"/>
      <c r="J44" s="7"/>
      <c r="K44" s="7"/>
      <c r="L44" s="7"/>
      <c r="M44" s="7"/>
      <c r="N44" s="7"/>
      <c r="O44" s="7"/>
      <c r="P44" s="7"/>
      <c r="Q44" s="7"/>
    </row>
    <row r="45" spans="1:17" x14ac:dyDescent="0.3">
      <c r="A45" s="7"/>
      <c r="B45" s="7"/>
      <c r="C45" s="7"/>
      <c r="D45" s="7"/>
      <c r="E45" s="7"/>
      <c r="F45" s="7"/>
      <c r="G45" s="7"/>
      <c r="H45" s="7"/>
      <c r="I45" s="7"/>
      <c r="J45" s="7"/>
      <c r="K45" s="7"/>
      <c r="L45" s="7"/>
      <c r="M45" s="7"/>
      <c r="N45" s="7"/>
      <c r="O45" s="7"/>
      <c r="P45" s="7"/>
      <c r="Q45" s="7"/>
    </row>
    <row r="46" spans="1:17" x14ac:dyDescent="0.3">
      <c r="A46" s="7"/>
      <c r="B46" s="7"/>
      <c r="C46" s="7"/>
      <c r="D46" s="7"/>
      <c r="E46" s="7"/>
      <c r="F46" s="7"/>
      <c r="G46" s="7"/>
      <c r="H46" s="7"/>
      <c r="I46" s="7"/>
      <c r="J46" s="7"/>
      <c r="K46" s="7"/>
      <c r="L46" s="7"/>
      <c r="M46" s="7"/>
      <c r="N46" s="7"/>
      <c r="O46" s="7"/>
      <c r="P46" s="7"/>
      <c r="Q46" s="7"/>
    </row>
  </sheetData>
  <mergeCells count="1">
    <mergeCell ref="D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Region Wise Revenue</vt:lpstr>
      <vt:lpstr>Product Wise Revenue</vt:lpstr>
      <vt:lpstr>SalesPerson Performance</vt:lpstr>
      <vt:lpstr>Sales_Data</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Tripathi</dc:creator>
  <cp:lastModifiedBy>Ankit Tripathi</cp:lastModifiedBy>
  <dcterms:created xsi:type="dcterms:W3CDTF">2026-06-13T04:48:32Z</dcterms:created>
  <dcterms:modified xsi:type="dcterms:W3CDTF">2026-06-13T06:22:27Z</dcterms:modified>
</cp:coreProperties>
</file>