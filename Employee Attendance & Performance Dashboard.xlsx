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ANKIT TRIPATHI\Desktop\"/>
    </mc:Choice>
  </mc:AlternateContent>
  <xr:revisionPtr revIDLastSave="0" documentId="8_{2AD8C4D7-CB0E-4E74-A769-BEACCB7263E2}" xr6:coauthVersionLast="47" xr6:coauthVersionMax="47" xr10:uidLastSave="{00000000-0000-0000-0000-000000000000}"/>
  <bookViews>
    <workbookView xWindow="-108" yWindow="-108" windowWidth="23256" windowHeight="12456" firstSheet="2" activeTab="4" xr2:uid="{CB74FE44-C798-41AC-A845-9CE8D39F00BA}"/>
  </bookViews>
  <sheets>
    <sheet name="Departement-wise Avg Attend." sheetId="3" r:id="rId1"/>
    <sheet name="Performance Rating Distri." sheetId="4" r:id="rId2"/>
    <sheet name="Emplowise Attendance" sheetId="6" r:id="rId3"/>
    <sheet name="Attendance_Data" sheetId="1" r:id="rId4"/>
    <sheet name="Dashboards" sheetId="2" r:id="rId5"/>
  </sheets>
  <definedNames>
    <definedName name="Slicer_Department">#N/A</definedName>
    <definedName name="Slicer_Month">#N/A</definedName>
    <definedName name="Slicer_Performance_Rating">#N/A</definedName>
  </definedNames>
  <calcPr calcId="191029"/>
  <pivotCaches>
    <pivotCache cacheId="8"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2" l="1"/>
  <c r="E5" i="2"/>
  <c r="D5" i="2"/>
  <c r="C5" i="2"/>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alcChain>
</file>

<file path=xl/sharedStrings.xml><?xml version="1.0" encoding="utf-8"?>
<sst xmlns="http://schemas.openxmlformats.org/spreadsheetml/2006/main" count="831" uniqueCount="47">
  <si>
    <t>Employee ID</t>
  </si>
  <si>
    <t>Employee Name</t>
  </si>
  <si>
    <t>Department</t>
  </si>
  <si>
    <t>Month</t>
  </si>
  <si>
    <t>Working Days</t>
  </si>
  <si>
    <t>Present Days</t>
  </si>
  <si>
    <t>E001</t>
  </si>
  <si>
    <t>Amit</t>
  </si>
  <si>
    <t>Sales</t>
  </si>
  <si>
    <t>Jan</t>
  </si>
  <si>
    <t>E002</t>
  </si>
  <si>
    <t>Priya</t>
  </si>
  <si>
    <t>HR</t>
  </si>
  <si>
    <t>E003</t>
  </si>
  <si>
    <t>Rahul</t>
  </si>
  <si>
    <t>IT</t>
  </si>
  <si>
    <t>E004</t>
  </si>
  <si>
    <t>Neha</t>
  </si>
  <si>
    <t>Finance</t>
  </si>
  <si>
    <t>E005</t>
  </si>
  <si>
    <t>Aman</t>
  </si>
  <si>
    <t>E006</t>
  </si>
  <si>
    <t>Pooja</t>
  </si>
  <si>
    <t>E007</t>
  </si>
  <si>
    <t>Vivek</t>
  </si>
  <si>
    <t>E008</t>
  </si>
  <si>
    <t>Kavya</t>
  </si>
  <si>
    <t>E009</t>
  </si>
  <si>
    <t>Rohit</t>
  </si>
  <si>
    <t>E010</t>
  </si>
  <si>
    <t>Simran</t>
  </si>
  <si>
    <t>Feb</t>
  </si>
  <si>
    <t>Mar</t>
  </si>
  <si>
    <t>Apr</t>
  </si>
  <si>
    <t>May</t>
  </si>
  <si>
    <t>Attendance%</t>
  </si>
  <si>
    <t>Performance Rating</t>
  </si>
  <si>
    <t>DASHBOARDS</t>
  </si>
  <si>
    <t>Total Employees</t>
  </si>
  <si>
    <t>Average Attendance</t>
  </si>
  <si>
    <t>Excellent Employees</t>
  </si>
  <si>
    <t>Poor Employees</t>
  </si>
  <si>
    <t>Row Labels</t>
  </si>
  <si>
    <t>Excellent</t>
  </si>
  <si>
    <t>Good</t>
  </si>
  <si>
    <t>Count of Employee ID</t>
  </si>
  <si>
    <t>Average of Attendance%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</si>
</sst>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b/>
      <sz val="16"/>
      <color theme="0"/>
      <name val="Calibri"/>
      <family val="2"/>
      <scheme val="minor"/>
    </font>
    <font>
      <b/>
      <sz val="12"/>
      <color theme="1"/>
      <name val="Calibri"/>
      <family val="2"/>
      <scheme val="minor"/>
    </font>
  </fonts>
  <fills count="4">
    <fill>
      <patternFill patternType="none"/>
    </fill>
    <fill>
      <patternFill patternType="gray125"/>
    </fill>
    <fill>
      <patternFill patternType="solid">
        <fgColor theme="1"/>
        <bgColor indexed="64"/>
      </patternFill>
    </fill>
    <fill>
      <patternFill patternType="solid">
        <fgColor theme="4" tint="0.79998168889431442"/>
        <bgColor indexed="64"/>
      </patternFill>
    </fill>
  </fills>
  <borders count="7">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9" fontId="0" fillId="0" borderId="0" xfId="1" applyFont="1"/>
    <xf numFmtId="0" fontId="4" fillId="2" borderId="0" xfId="0" applyFont="1" applyFill="1" applyAlignment="1">
      <alignment horizontal="center" vertical="center"/>
    </xf>
    <xf numFmtId="0" fontId="0" fillId="3" borderId="0" xfId="0" applyFill="1"/>
    <xf numFmtId="0" fontId="5" fillId="3" borderId="1" xfId="0" applyFont="1" applyFill="1" applyBorder="1" applyAlignment="1">
      <alignment vertical="center" wrapText="1"/>
    </xf>
    <xf numFmtId="0" fontId="5" fillId="3" borderId="2" xfId="0" applyFont="1" applyFill="1" applyBorder="1" applyAlignment="1">
      <alignment vertical="center" wrapText="1"/>
    </xf>
    <xf numFmtId="0" fontId="5" fillId="3" borderId="3" xfId="0" applyFont="1" applyFill="1" applyBorder="1" applyAlignment="1">
      <alignment vertical="center" wrapText="1"/>
    </xf>
    <xf numFmtId="0" fontId="3" fillId="3" borderId="4" xfId="0" applyFont="1" applyFill="1" applyBorder="1" applyAlignment="1">
      <alignment vertical="center" wrapText="1"/>
    </xf>
    <xf numFmtId="9" fontId="3" fillId="3" borderId="5" xfId="1" applyFont="1" applyFill="1" applyBorder="1" applyAlignment="1">
      <alignment vertical="center" wrapText="1"/>
    </xf>
    <xf numFmtId="0" fontId="3" fillId="3" borderId="5" xfId="0" applyFont="1" applyFill="1" applyBorder="1" applyAlignment="1">
      <alignment vertical="center" wrapText="1"/>
    </xf>
    <xf numFmtId="0" fontId="3" fillId="3" borderId="6" xfId="0" applyFont="1" applyFill="1" applyBorder="1" applyAlignment="1">
      <alignment vertical="center" wrapText="1"/>
    </xf>
    <xf numFmtId="0" fontId="0" fillId="0" borderId="0" xfId="0" pivotButton="1"/>
    <xf numFmtId="0" fontId="0" fillId="0" borderId="0" xfId="0" applyAlignment="1">
      <alignment horizontal="left"/>
    </xf>
    <xf numFmtId="9" fontId="0" fillId="0" borderId="0" xfId="0" applyNumberFormat="1"/>
    <xf numFmtId="0" fontId="0" fillId="0" borderId="0" xfId="0" applyNumberFormat="1"/>
  </cellXfs>
  <cellStyles count="2">
    <cellStyle name="Normal" xfId="0" builtinId="0"/>
    <cellStyle name="Percent" xfId="1" builtinId="5"/>
  </cellStyles>
  <dxfs count="14">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numFmt numFmtId="0" formatCode="General"/>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Attendance &amp; Performance Dashboard.xlsx]Departement-wise Avg Attend.!PivotTable1</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Department-wise</a:t>
            </a:r>
            <a:r>
              <a:rPr lang="en-IN" sz="1600" b="1" baseline="0"/>
              <a:t> Average Attendance</a:t>
            </a:r>
            <a:endParaRPr lang="en-IN" sz="1600" b="1"/>
          </a:p>
        </c:rich>
      </c:tx>
      <c:layout>
        <c:manualLayout>
          <c:xMode val="edge"/>
          <c:yMode val="edge"/>
          <c:x val="0.16015966754155733"/>
          <c:y val="3.138670166229221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'Departement-wise Avg Attend.'!$B$3</c:f>
              <c:strCache>
                <c:ptCount val="1"/>
                <c:pt idx="0">
                  <c:v>Total</c:v>
                </c:pt>
              </c:strCache>
            </c:strRef>
          </c:tx>
          <c:spPr>
            <a:solidFill>
              <a:schemeClr val="accent1"/>
            </a:solidFill>
            <a:ln>
              <a:noFill/>
            </a:ln>
            <a:effectLst/>
          </c:spPr>
          <c:invertIfNegative val="0"/>
          <c:cat>
            <c:strRef>
              <c:f>'Departement-wise Avg Attend.'!$A$4:$A$6</c:f>
              <c:strCache>
                <c:ptCount val="3"/>
                <c:pt idx="0">
                  <c:v>Finance</c:v>
                </c:pt>
                <c:pt idx="1">
                  <c:v>HR</c:v>
                </c:pt>
                <c:pt idx="2">
                  <c:v>Sales</c:v>
                </c:pt>
              </c:strCache>
            </c:strRef>
          </c:cat>
          <c:val>
            <c:numRef>
              <c:f>'Departement-wise Avg Attend.'!$B$4:$B$6</c:f>
              <c:numCache>
                <c:formatCode>0%</c:formatCode>
                <c:ptCount val="3"/>
                <c:pt idx="0">
                  <c:v>0.94989010989010969</c:v>
                </c:pt>
                <c:pt idx="1">
                  <c:v>0.9482051282051277</c:v>
                </c:pt>
                <c:pt idx="2">
                  <c:v>0.94584615384615378</c:v>
                </c:pt>
              </c:numCache>
            </c:numRef>
          </c:val>
          <c:extLst>
            <c:ext xmlns:c16="http://schemas.microsoft.com/office/drawing/2014/chart" uri="{C3380CC4-5D6E-409C-BE32-E72D297353CC}">
              <c16:uniqueId val="{00000000-A375-4A18-9337-EEE25B42648B}"/>
            </c:ext>
          </c:extLst>
        </c:ser>
        <c:dLbls>
          <c:showLegendKey val="0"/>
          <c:showVal val="0"/>
          <c:showCatName val="0"/>
          <c:showSerName val="0"/>
          <c:showPercent val="0"/>
          <c:showBubbleSize val="0"/>
        </c:dLbls>
        <c:gapWidth val="219"/>
        <c:overlap val="-27"/>
        <c:axId val="351648799"/>
        <c:axId val="351649279"/>
      </c:barChart>
      <c:catAx>
        <c:axId val="35164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649279"/>
        <c:crosses val="autoZero"/>
        <c:auto val="1"/>
        <c:lblAlgn val="ctr"/>
        <c:lblOffset val="100"/>
        <c:noMultiLvlLbl val="0"/>
      </c:catAx>
      <c:valAx>
        <c:axId val="351649279"/>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64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Attendance &amp; Performance Dashboard.xlsx]Performance Rating Distri.!PivotTable2</c:name>
    <c:fmtId val="0"/>
  </c:pivotSource>
  <c:chart>
    <c:title>
      <c:tx>
        <c:rich>
          <a:bodyPr rot="0" spcFirstLastPara="1" vertOverflow="ellipsis" vert="horz" wrap="square" anchor="ctr" anchorCtr="1"/>
          <a:lstStyle/>
          <a:p>
            <a:pPr>
              <a:defRPr sz="1600" b="1" i="0" u="none" strike="noStrike" kern="1200" spc="0" baseline="0">
                <a:solidFill>
                  <a:srgbClr val="7030A0"/>
                </a:solidFill>
                <a:latin typeface="+mn-lt"/>
                <a:ea typeface="+mn-ea"/>
                <a:cs typeface="+mn-cs"/>
              </a:defRPr>
            </a:pPr>
            <a:r>
              <a:rPr lang="en-IN" sz="1600" b="1">
                <a:solidFill>
                  <a:srgbClr val="7030A0"/>
                </a:solidFill>
              </a:rPr>
              <a:t>Performance</a:t>
            </a:r>
            <a:r>
              <a:rPr lang="en-IN" sz="1600" b="1" baseline="0">
                <a:solidFill>
                  <a:srgbClr val="7030A0"/>
                </a:solidFill>
              </a:rPr>
              <a:t> Rating Distribution</a:t>
            </a:r>
            <a:endParaRPr lang="en-IN" sz="1600" b="1">
              <a:solidFill>
                <a:srgbClr val="7030A0"/>
              </a:solidFill>
            </a:endParaRPr>
          </a:p>
        </c:rich>
      </c:tx>
      <c:overlay val="0"/>
      <c:spPr>
        <a:solidFill>
          <a:schemeClr val="tx2">
            <a:lumMod val="20000"/>
            <a:lumOff val="80000"/>
          </a:schemeClr>
        </a:solidFill>
        <a:ln>
          <a:noFill/>
        </a:ln>
        <a:effectLst/>
      </c:spPr>
      <c:txPr>
        <a:bodyPr rot="0" spcFirstLastPara="1" vertOverflow="ellipsis" vert="horz" wrap="square" anchor="ctr" anchorCtr="1"/>
        <a:lstStyle/>
        <a:p>
          <a:pPr>
            <a:defRPr sz="1600" b="1"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'Performance Rating Distri.'!$B$3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'Performance Rating Distri.'!$A$4:$A$5</c:f>
              <c:strCache>
                <c:ptCount val="2"/>
                <c:pt idx="0">
                  <c:v>Excellent</c:v>
                </c:pt>
                <c:pt idx="1">
                  <c:v>Good</c:v>
                </c:pt>
              </c:strCache>
            </c:strRef>
          </c:cat>
          <c:val>
            <c:numRef>
              <c:f>'Performance Rating Distri.'!$B$4:$B$5</c:f>
              <c:numCache>
                <c:formatCode>General</c:formatCode>
                <c:ptCount val="2"/>
                <c:pt idx="0">
                  <c:v>64</c:v>
                </c:pt>
                <c:pt idx="1">
                  <c:v>32</c:v>
                </c:pt>
              </c:numCache>
            </c:numRef>
          </c:val>
          <c:extLst>
            <c:ext xmlns:c16="http://schemas.microsoft.com/office/drawing/2014/chart" uri="{C3380CC4-5D6E-409C-BE32-E72D297353CC}">
              <c16:uniqueId val="{00000000-2FDA-4F87-8C33-ACE876F20E6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Attendance &amp; Performance Dashboard.xlsx]Emplowise Attendance!PivotTable3</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Employee-wise</a:t>
            </a:r>
            <a:r>
              <a:rPr lang="en-US" sz="1600" b="1" baseline="0"/>
              <a:t> Attendance</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'Emplowise Attendance'!$B$3</c:f>
              <c:strCache>
                <c:ptCount val="1"/>
                <c:pt idx="0">
                  <c:v>Total</c:v>
                </c:pt>
              </c:strCache>
            </c:strRef>
          </c:tx>
          <c:spPr>
            <a:solidFill>
              <a:schemeClr val="accent1"/>
            </a:solidFill>
            <a:ln>
              <a:noFill/>
            </a:ln>
            <a:effectLst/>
          </c:spPr>
          <c:invertIfNegative val="0"/>
          <c:cat>
            <c:strRef>
              <c:f>'Emplowise Attendance'!$A$4:$A$10</c:f>
              <c:strCache>
                <c:ptCount val="7"/>
                <c:pt idx="0">
                  <c:v>Aman</c:v>
                </c:pt>
                <c:pt idx="1">
                  <c:v>Amit</c:v>
                </c:pt>
                <c:pt idx="2">
                  <c:v>Kavya</c:v>
                </c:pt>
                <c:pt idx="3">
                  <c:v>Neha</c:v>
                </c:pt>
                <c:pt idx="4">
                  <c:v>Pooja</c:v>
                </c:pt>
                <c:pt idx="5">
                  <c:v>Priya</c:v>
                </c:pt>
                <c:pt idx="6">
                  <c:v>Simran</c:v>
                </c:pt>
              </c:strCache>
            </c:strRef>
          </c:cat>
          <c:val>
            <c:numRef>
              <c:f>'Emplowise Attendance'!$B$4:$B$10</c:f>
              <c:numCache>
                <c:formatCode>0%</c:formatCode>
                <c:ptCount val="7"/>
                <c:pt idx="0">
                  <c:v>0.88461538461538458</c:v>
                </c:pt>
                <c:pt idx="1">
                  <c:v>0.96115384615384625</c:v>
                </c:pt>
                <c:pt idx="2">
                  <c:v>1</c:v>
                </c:pt>
                <c:pt idx="3">
                  <c:v>0.8830769230769232</c:v>
                </c:pt>
                <c:pt idx="4">
                  <c:v>0.96115384615384614</c:v>
                </c:pt>
                <c:pt idx="5">
                  <c:v>0.92230769230769238</c:v>
                </c:pt>
                <c:pt idx="6">
                  <c:v>0.96115384615384614</c:v>
                </c:pt>
              </c:numCache>
            </c:numRef>
          </c:val>
          <c:extLst>
            <c:ext xmlns:c16="http://schemas.microsoft.com/office/drawing/2014/chart" uri="{C3380CC4-5D6E-409C-BE32-E72D297353CC}">
              <c16:uniqueId val="{00000000-4FA0-42C5-8E08-5227E561A767}"/>
            </c:ext>
          </c:extLst>
        </c:ser>
        <c:dLbls>
          <c:showLegendKey val="0"/>
          <c:showVal val="0"/>
          <c:showCatName val="0"/>
          <c:showSerName val="0"/>
          <c:showPercent val="0"/>
          <c:showBubbleSize val="0"/>
        </c:dLbls>
        <c:gapWidth val="182"/>
        <c:axId val="350688655"/>
        <c:axId val="350690095"/>
      </c:barChart>
      <c:catAx>
        <c:axId val="350688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690095"/>
        <c:crosses val="autoZero"/>
        <c:auto val="1"/>
        <c:lblAlgn val="ctr"/>
        <c:lblOffset val="100"/>
        <c:noMultiLvlLbl val="0"/>
      </c:catAx>
      <c:valAx>
        <c:axId val="350690095"/>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688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Attendance &amp; Performance Dashboard.xlsx]Departement-wise Avg Attend.!PivotTable1</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Department-wise</a:t>
            </a:r>
            <a:r>
              <a:rPr lang="en-IN" sz="1600" b="1" baseline="0"/>
              <a:t> Average Attendance</a:t>
            </a:r>
            <a:endParaRPr lang="en-IN" sz="1600" b="1"/>
          </a:p>
        </c:rich>
      </c:tx>
      <c:layout>
        <c:manualLayout>
          <c:xMode val="edge"/>
          <c:yMode val="edge"/>
          <c:x val="0.16015966754155733"/>
          <c:y val="3.138670166229221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'Departement-wise Avg Attend.'!$B$3</c:f>
              <c:strCache>
                <c:ptCount val="1"/>
                <c:pt idx="0">
                  <c:v>Total</c:v>
                </c:pt>
              </c:strCache>
            </c:strRef>
          </c:tx>
          <c:spPr>
            <a:solidFill>
              <a:schemeClr val="accent1"/>
            </a:solidFill>
            <a:ln>
              <a:noFill/>
            </a:ln>
            <a:effectLst/>
          </c:spPr>
          <c:invertIfNegative val="0"/>
          <c:cat>
            <c:strRef>
              <c:f>'Departement-wise Avg Attend.'!$A$4:$A$6</c:f>
              <c:strCache>
                <c:ptCount val="3"/>
                <c:pt idx="0">
                  <c:v>Finance</c:v>
                </c:pt>
                <c:pt idx="1">
                  <c:v>HR</c:v>
                </c:pt>
                <c:pt idx="2">
                  <c:v>Sales</c:v>
                </c:pt>
              </c:strCache>
            </c:strRef>
          </c:cat>
          <c:val>
            <c:numRef>
              <c:f>'Departement-wise Avg Attend.'!$B$4:$B$6</c:f>
              <c:numCache>
                <c:formatCode>0%</c:formatCode>
                <c:ptCount val="3"/>
                <c:pt idx="0">
                  <c:v>0.94989010989010969</c:v>
                </c:pt>
                <c:pt idx="1">
                  <c:v>0.9482051282051277</c:v>
                </c:pt>
                <c:pt idx="2">
                  <c:v>0.94584615384615378</c:v>
                </c:pt>
              </c:numCache>
            </c:numRef>
          </c:val>
          <c:extLst>
            <c:ext xmlns:c16="http://schemas.microsoft.com/office/drawing/2014/chart" uri="{C3380CC4-5D6E-409C-BE32-E72D297353CC}">
              <c16:uniqueId val="{00000000-D6A0-4E91-9AF7-3C56293A04E9}"/>
            </c:ext>
          </c:extLst>
        </c:ser>
        <c:dLbls>
          <c:showLegendKey val="0"/>
          <c:showVal val="0"/>
          <c:showCatName val="0"/>
          <c:showSerName val="0"/>
          <c:showPercent val="0"/>
          <c:showBubbleSize val="0"/>
        </c:dLbls>
        <c:gapWidth val="219"/>
        <c:overlap val="-27"/>
        <c:axId val="351648799"/>
        <c:axId val="351649279"/>
      </c:barChart>
      <c:catAx>
        <c:axId val="35164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649279"/>
        <c:crosses val="autoZero"/>
        <c:auto val="1"/>
        <c:lblAlgn val="ctr"/>
        <c:lblOffset val="100"/>
        <c:noMultiLvlLbl val="0"/>
      </c:catAx>
      <c:valAx>
        <c:axId val="351649279"/>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64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Attendance &amp; Performance Dashboard.xlsx]Performance Rating Distri.!PivotTable2</c:name>
    <c:fmtId val="3"/>
  </c:pivotSource>
  <c:chart>
    <c:title>
      <c:tx>
        <c:rich>
          <a:bodyPr rot="0" spcFirstLastPara="1" vertOverflow="ellipsis" vert="horz" wrap="square" anchor="ctr" anchorCtr="1"/>
          <a:lstStyle/>
          <a:p>
            <a:pPr>
              <a:defRPr sz="1600" b="1" i="0" u="none" strike="noStrike" kern="1200" spc="0" baseline="0">
                <a:solidFill>
                  <a:srgbClr val="7030A0"/>
                </a:solidFill>
                <a:latin typeface="+mn-lt"/>
                <a:ea typeface="+mn-ea"/>
                <a:cs typeface="+mn-cs"/>
              </a:defRPr>
            </a:pPr>
            <a:r>
              <a:rPr lang="en-IN" sz="1600" b="1">
                <a:solidFill>
                  <a:srgbClr val="7030A0"/>
                </a:solidFill>
              </a:rPr>
              <a:t>Performance</a:t>
            </a:r>
            <a:r>
              <a:rPr lang="en-IN" sz="1600" b="1" baseline="0">
                <a:solidFill>
                  <a:srgbClr val="7030A0"/>
                </a:solidFill>
              </a:rPr>
              <a:t> Rating Distribution</a:t>
            </a:r>
            <a:endParaRPr lang="en-IN" sz="1600" b="1">
              <a:solidFill>
                <a:srgbClr val="7030A0"/>
              </a:solidFill>
            </a:endParaRPr>
          </a:p>
        </c:rich>
      </c:tx>
      <c:overlay val="0"/>
      <c:spPr>
        <a:solidFill>
          <a:schemeClr val="tx2">
            <a:lumMod val="20000"/>
            <a:lumOff val="80000"/>
          </a:schemeClr>
        </a:solidFill>
        <a:ln>
          <a:noFill/>
        </a:ln>
        <a:effectLst/>
      </c:spPr>
      <c:txPr>
        <a:bodyPr rot="0" spcFirstLastPara="1" vertOverflow="ellipsis" vert="horz" wrap="square" anchor="ctr" anchorCtr="1"/>
        <a:lstStyle/>
        <a:p>
          <a:pPr>
            <a:defRPr sz="1600" b="1" i="0" u="none" strike="noStrike" kern="1200" spc="0" baseline="0">
              <a:solidFill>
                <a:srgbClr val="7030A0"/>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'Performance Rating Distri.'!$B$3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5E-48F2-8F99-2BAD3346A6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5E-48F2-8F99-2BAD3346A6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5E-48F2-8F99-2BAD3346A62F}"/>
              </c:ext>
            </c:extLst>
          </c:dPt>
          <c:dLbls>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'Performance Rating Distri.'!$A$4:$A$5</c:f>
              <c:strCache>
                <c:ptCount val="2"/>
                <c:pt idx="0">
                  <c:v>Excellent</c:v>
                </c:pt>
                <c:pt idx="1">
                  <c:v>Good</c:v>
                </c:pt>
              </c:strCache>
            </c:strRef>
          </c:cat>
          <c:val>
            <c:numRef>
              <c:f>'Performance Rating Distri.'!$B$4:$B$5</c:f>
              <c:numCache>
                <c:formatCode>General</c:formatCode>
                <c:ptCount val="2"/>
                <c:pt idx="0">
                  <c:v>64</c:v>
                </c:pt>
                <c:pt idx="1">
                  <c:v>32</c:v>
                </c:pt>
              </c:numCache>
            </c:numRef>
          </c:val>
          <c:extLst>
            <c:ext xmlns:c16="http://schemas.microsoft.com/office/drawing/2014/chart" uri="{C3380CC4-5D6E-409C-BE32-E72D297353CC}">
              <c16:uniqueId val="{00000006-675E-48F2-8F99-2BAD3346A62F}"/>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Attendance &amp; Performance Dashboard.xlsx]Emplowise Attendance!PivotTable3</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Employee-wise</a:t>
            </a:r>
            <a:r>
              <a:rPr lang="en-US" sz="1600" b="1" baseline="0"/>
              <a:t> Attendance</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'Emplowise Attendance'!$B$3</c:f>
              <c:strCache>
                <c:ptCount val="1"/>
                <c:pt idx="0">
                  <c:v>Total</c:v>
                </c:pt>
              </c:strCache>
            </c:strRef>
          </c:tx>
          <c:spPr>
            <a:solidFill>
              <a:schemeClr val="accent1"/>
            </a:solidFill>
            <a:ln>
              <a:noFill/>
            </a:ln>
            <a:effectLst/>
          </c:spPr>
          <c:invertIfNegative val="0"/>
          <c:cat>
            <c:strRef>
              <c:f>'Emplowise Attendance'!$A$4:$A$10</c:f>
              <c:strCache>
                <c:ptCount val="7"/>
                <c:pt idx="0">
                  <c:v>Aman</c:v>
                </c:pt>
                <c:pt idx="1">
                  <c:v>Amit</c:v>
                </c:pt>
                <c:pt idx="2">
                  <c:v>Kavya</c:v>
                </c:pt>
                <c:pt idx="3">
                  <c:v>Neha</c:v>
                </c:pt>
                <c:pt idx="4">
                  <c:v>Pooja</c:v>
                </c:pt>
                <c:pt idx="5">
                  <c:v>Priya</c:v>
                </c:pt>
                <c:pt idx="6">
                  <c:v>Simran</c:v>
                </c:pt>
              </c:strCache>
            </c:strRef>
          </c:cat>
          <c:val>
            <c:numRef>
              <c:f>'Emplowise Attendance'!$B$4:$B$10</c:f>
              <c:numCache>
                <c:formatCode>0%</c:formatCode>
                <c:ptCount val="7"/>
                <c:pt idx="0">
                  <c:v>0.88461538461538458</c:v>
                </c:pt>
                <c:pt idx="1">
                  <c:v>0.96115384615384625</c:v>
                </c:pt>
                <c:pt idx="2">
                  <c:v>1</c:v>
                </c:pt>
                <c:pt idx="3">
                  <c:v>0.8830769230769232</c:v>
                </c:pt>
                <c:pt idx="4">
                  <c:v>0.96115384615384614</c:v>
                </c:pt>
                <c:pt idx="5">
                  <c:v>0.92230769230769238</c:v>
                </c:pt>
                <c:pt idx="6">
                  <c:v>0.96115384615384614</c:v>
                </c:pt>
              </c:numCache>
            </c:numRef>
          </c:val>
          <c:extLst>
            <c:ext xmlns:c16="http://schemas.microsoft.com/office/drawing/2014/chart" uri="{C3380CC4-5D6E-409C-BE32-E72D297353CC}">
              <c16:uniqueId val="{00000000-2034-4A5F-B05C-48AF249169E9}"/>
            </c:ext>
          </c:extLst>
        </c:ser>
        <c:dLbls>
          <c:showLegendKey val="0"/>
          <c:showVal val="0"/>
          <c:showCatName val="0"/>
          <c:showSerName val="0"/>
          <c:showPercent val="0"/>
          <c:showBubbleSize val="0"/>
        </c:dLbls>
        <c:gapWidth val="182"/>
        <c:axId val="350688655"/>
        <c:axId val="350690095"/>
      </c:barChart>
      <c:catAx>
        <c:axId val="350688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690095"/>
        <c:crosses val="autoZero"/>
        <c:auto val="1"/>
        <c:lblAlgn val="ctr"/>
        <c:lblOffset val="100"/>
        <c:noMultiLvlLbl val="0"/>
      </c:catAx>
      <c:valAx>
        <c:axId val="350690095"/>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688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7620</xdr:colOff>
      <xdr:row>2</xdr:row>
      <xdr:rowOff>7620</xdr:rowOff>
    </xdr:from>
    <xdr:to>
      <xdr:col>10</xdr:col>
      <xdr:colOff>312420</xdr:colOff>
      <xdr:row>17</xdr:row>
      <xdr:rowOff>7620</xdr:rowOff>
    </xdr:to>
    <xdr:graphicFrame macro="">
      <xdr:nvGraphicFramePr>
        <xdr:cNvPr id="2" name="Chart 1">
          <a:extLst>
            <a:ext uri="{FF2B5EF4-FFF2-40B4-BE49-F238E27FC236}">
              <a16:creationId xmlns:a16="http://schemas.microsoft.com/office/drawing/2014/main" id="{B27702AB-4441-3497-EE45-38E70CF230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22860</xdr:colOff>
      <xdr:row>1</xdr:row>
      <xdr:rowOff>160020</xdr:rowOff>
    </xdr:from>
    <xdr:to>
      <xdr:col>10</xdr:col>
      <xdr:colOff>327660</xdr:colOff>
      <xdr:row>16</xdr:row>
      <xdr:rowOff>160020</xdr:rowOff>
    </xdr:to>
    <xdr:graphicFrame macro="">
      <xdr:nvGraphicFramePr>
        <xdr:cNvPr id="2" name="Chart 1">
          <a:extLst>
            <a:ext uri="{FF2B5EF4-FFF2-40B4-BE49-F238E27FC236}">
              <a16:creationId xmlns:a16="http://schemas.microsoft.com/office/drawing/2014/main" id="{C3808C38-F03A-5276-29EA-741326BB26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365760</xdr:colOff>
      <xdr:row>6</xdr:row>
      <xdr:rowOff>45720</xdr:rowOff>
    </xdr:from>
    <xdr:to>
      <xdr:col>11</xdr:col>
      <xdr:colOff>60960</xdr:colOff>
      <xdr:row>21</xdr:row>
      <xdr:rowOff>45720</xdr:rowOff>
    </xdr:to>
    <xdr:graphicFrame macro="">
      <xdr:nvGraphicFramePr>
        <xdr:cNvPr id="2" name="Chart 1">
          <a:extLst>
            <a:ext uri="{FF2B5EF4-FFF2-40B4-BE49-F238E27FC236}">
              <a16:creationId xmlns:a16="http://schemas.microsoft.com/office/drawing/2014/main" id="{7F76B037-149D-8A18-D01C-76624F5674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519164</xdr:colOff>
      <xdr:row>9</xdr:row>
      <xdr:rowOff>58616</xdr:rowOff>
    </xdr:from>
    <xdr:to>
      <xdr:col>4</xdr:col>
      <xdr:colOff>870857</xdr:colOff>
      <xdr:row>20</xdr:row>
      <xdr:rowOff>150726</xdr:rowOff>
    </xdr:to>
    <xdr:graphicFrame macro="">
      <xdr:nvGraphicFramePr>
        <xdr:cNvPr id="2" name="Chart 1">
          <a:extLst>
            <a:ext uri="{FF2B5EF4-FFF2-40B4-BE49-F238E27FC236}">
              <a16:creationId xmlns:a16="http://schemas.microsoft.com/office/drawing/2014/main" id="{C125B1C2-A82A-48F4-945C-BDFEA41F38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1122066</xdr:colOff>
      <xdr:row>9</xdr:row>
      <xdr:rowOff>66989</xdr:rowOff>
    </xdr:from>
    <xdr:to>
      <xdr:col>10</xdr:col>
      <xdr:colOff>351692</xdr:colOff>
      <xdr:row>21</xdr:row>
      <xdr:rowOff>8373</xdr:rowOff>
    </xdr:to>
    <xdr:graphicFrame macro="">
      <xdr:nvGraphicFramePr>
        <xdr:cNvPr id="3" name="Chart 2">
          <a:extLst>
            <a:ext uri="{FF2B5EF4-FFF2-40B4-BE49-F238E27FC236}">
              <a16:creationId xmlns:a16="http://schemas.microsoft.com/office/drawing/2014/main" id="{89792C35-D846-483A-A693-B166785A50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9</xdr:row>
      <xdr:rowOff>100484</xdr:rowOff>
    </xdr:from>
    <xdr:to>
      <xdr:col>16</xdr:col>
      <xdr:colOff>443802</xdr:colOff>
      <xdr:row>21</xdr:row>
      <xdr:rowOff>92109</xdr:rowOff>
    </xdr:to>
    <xdr:graphicFrame macro="">
      <xdr:nvGraphicFramePr>
        <xdr:cNvPr id="4" name="Chart 3">
          <a:extLst>
            <a:ext uri="{FF2B5EF4-FFF2-40B4-BE49-F238E27FC236}">
              <a16:creationId xmlns:a16="http://schemas.microsoft.com/office/drawing/2014/main" id="{AF3C37E0-54F9-4D1A-93D9-A3DC4E567F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125102</xdr:colOff>
      <xdr:row>2</xdr:row>
      <xdr:rowOff>61966</xdr:rowOff>
    </xdr:from>
    <xdr:to>
      <xdr:col>9</xdr:col>
      <xdr:colOff>120078</xdr:colOff>
      <xdr:row>7</xdr:row>
      <xdr:rowOff>58616</xdr:rowOff>
    </xdr:to>
    <mc:AlternateContent xmlns:mc="http://schemas.openxmlformats.org/markup-compatibility/2006">
      <mc:Choice xmlns:a14="http://schemas.microsoft.com/office/drawing/2010/main" Requires="a14">
        <xdr:graphicFrame macro="">
          <xdr:nvGraphicFramePr>
            <xdr:cNvPr id="5" name="Department">
              <a:extLst>
                <a:ext uri="{FF2B5EF4-FFF2-40B4-BE49-F238E27FC236}">
                  <a16:creationId xmlns:a16="http://schemas.microsoft.com/office/drawing/2014/main" id="{6F01989D-EE3F-1DEC-9A8F-84EB7D1B95E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5601454" y="430406"/>
              <a:ext cx="1828800" cy="13615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169733</xdr:colOff>
      <xdr:row>2</xdr:row>
      <xdr:rowOff>31233</xdr:rowOff>
    </xdr:from>
    <xdr:to>
      <xdr:col>12</xdr:col>
      <xdr:colOff>164709</xdr:colOff>
      <xdr:row>8</xdr:row>
      <xdr:rowOff>167472</xdr:rowOff>
    </xdr:to>
    <mc:AlternateContent xmlns:mc="http://schemas.openxmlformats.org/markup-compatibility/2006">
      <mc:Choice xmlns:a14="http://schemas.microsoft.com/office/drawing/2010/main" Requires="a14">
        <xdr:graphicFrame macro="">
          <xdr:nvGraphicFramePr>
            <xdr:cNvPr id="6" name="Month">
              <a:extLst>
                <a:ext uri="{FF2B5EF4-FFF2-40B4-BE49-F238E27FC236}">
                  <a16:creationId xmlns:a16="http://schemas.microsoft.com/office/drawing/2014/main" id="{DDBD1FF9-79E4-E3B1-8C13-B717A82B731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7479909" y="399673"/>
              <a:ext cx="1828800" cy="1685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264606</xdr:colOff>
      <xdr:row>2</xdr:row>
      <xdr:rowOff>42370</xdr:rowOff>
    </xdr:from>
    <xdr:to>
      <xdr:col>15</xdr:col>
      <xdr:colOff>259582</xdr:colOff>
      <xdr:row>6</xdr:row>
      <xdr:rowOff>83736</xdr:rowOff>
    </xdr:to>
    <mc:AlternateContent xmlns:mc="http://schemas.openxmlformats.org/markup-compatibility/2006">
      <mc:Choice xmlns:a14="http://schemas.microsoft.com/office/drawing/2010/main" Requires="a14">
        <xdr:graphicFrame macro="">
          <xdr:nvGraphicFramePr>
            <xdr:cNvPr id="7" name="Performance Rating">
              <a:extLst>
                <a:ext uri="{FF2B5EF4-FFF2-40B4-BE49-F238E27FC236}">
                  <a16:creationId xmlns:a16="http://schemas.microsoft.com/office/drawing/2014/main" id="{7B42EC76-195F-5602-BF72-C938D3EEDFEA}"/>
                </a:ext>
              </a:extLst>
            </xdr:cNvPr>
            <xdr:cNvGraphicFramePr/>
          </xdr:nvGraphicFramePr>
          <xdr:xfrm>
            <a:off x="0" y="0"/>
            <a:ext cx="0" cy="0"/>
          </xdr:xfrm>
          <a:graphic>
            <a:graphicData uri="http://schemas.microsoft.com/office/drawing/2010/slicer">
              <sle:slicer xmlns:sle="http://schemas.microsoft.com/office/drawing/2010/slicer" name="Performance Rating"/>
            </a:graphicData>
          </a:graphic>
        </xdr:graphicFrame>
      </mc:Choice>
      <mc:Fallback>
        <xdr:sp macro="" textlink="">
          <xdr:nvSpPr>
            <xdr:cNvPr id="0" name=""/>
            <xdr:cNvSpPr>
              <a:spLocks noTextEdit="1"/>
            </xdr:cNvSpPr>
          </xdr:nvSpPr>
          <xdr:spPr>
            <a:xfrm>
              <a:off x="9408606" y="410810"/>
              <a:ext cx="1828800" cy="12220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 TRIPATHI" refreshedDate="46186.682057060185" createdVersion="8" refreshedVersion="8" minRefreshableVersion="3" recordCount="200" xr:uid="{2BC465CA-6B5D-4893-97B1-2C830F581808}">
  <cacheSource type="worksheet">
    <worksheetSource name="Attendance_Table"/>
  </cacheSource>
  <cacheFields count="8">
    <cacheField name="Employee ID" numFmtId="0">
      <sharedItems/>
    </cacheField>
    <cacheField name="Employee Name" numFmtId="0">
      <sharedItems count="10">
        <s v="Amit"/>
        <s v="Priya"/>
        <s v="Rahul"/>
        <s v="Neha"/>
        <s v="Aman"/>
        <s v="Pooja"/>
        <s v="Vivek"/>
        <s v="Kavya"/>
        <s v="Rohit"/>
        <s v="Simran"/>
      </sharedItems>
    </cacheField>
    <cacheField name="Department" numFmtId="0">
      <sharedItems count="4">
        <s v="Sales"/>
        <s v="HR"/>
        <s v="IT"/>
        <s v="Finance"/>
      </sharedItems>
    </cacheField>
    <cacheField name="Month" numFmtId="0">
      <sharedItems count="5">
        <s v="Jan"/>
        <s v="Feb"/>
        <s v="Mar"/>
        <s v="Apr"/>
        <s v="May"/>
      </sharedItems>
    </cacheField>
    <cacheField name="Working Days" numFmtId="0">
      <sharedItems containsSemiMixedTypes="0" containsString="0" containsNumber="1" containsInteger="1" minValue="24" maxValue="26"/>
    </cacheField>
    <cacheField name="Present Days" numFmtId="0">
      <sharedItems containsSemiMixedTypes="0" containsString="0" containsNumber="1" containsInteger="1" minValue="19" maxValue="26"/>
    </cacheField>
    <cacheField name="Attendance%" numFmtId="9">
      <sharedItems containsSemiMixedTypes="0" containsString="0" containsNumber="1" minValue="0.79166666666666663" maxValue="1"/>
    </cacheField>
    <cacheField name="Performance Rating" numFmtId="0">
      <sharedItems count="3">
        <s v="Excellent"/>
        <s v="Good"/>
        <s v="Average"/>
      </sharedItems>
    </cacheField>
  </cacheFields>
  <extLst>
    <ext xmlns:x14="http://schemas.microsoft.com/office/spreadsheetml/2009/9/main" uri="{725AE2AE-9491-48be-B2B4-4EB974FC3084}">
      <x14:pivotCacheDefinition pivotCacheId="18162053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E001"/>
    <x v="0"/>
    <x v="0"/>
    <x v="0"/>
    <n v="26"/>
    <n v="25"/>
    <n v="0.96153846153846156"/>
    <x v="0"/>
  </r>
  <r>
    <s v="E002"/>
    <x v="1"/>
    <x v="1"/>
    <x v="0"/>
    <n v="26"/>
    <n v="24"/>
    <n v="0.92307692307692313"/>
    <x v="1"/>
  </r>
  <r>
    <s v="E003"/>
    <x v="2"/>
    <x v="2"/>
    <x v="0"/>
    <n v="26"/>
    <n v="26"/>
    <n v="1"/>
    <x v="0"/>
  </r>
  <r>
    <s v="E004"/>
    <x v="3"/>
    <x v="3"/>
    <x v="0"/>
    <n v="26"/>
    <n v="23"/>
    <n v="0.88461538461538458"/>
    <x v="1"/>
  </r>
  <r>
    <s v="E005"/>
    <x v="4"/>
    <x v="0"/>
    <x v="0"/>
    <n v="26"/>
    <n v="22"/>
    <n v="0.84615384615384615"/>
    <x v="2"/>
  </r>
  <r>
    <s v="E006"/>
    <x v="5"/>
    <x v="1"/>
    <x v="0"/>
    <n v="26"/>
    <n v="25"/>
    <n v="0.96153846153846156"/>
    <x v="0"/>
  </r>
  <r>
    <s v="E007"/>
    <x v="6"/>
    <x v="2"/>
    <x v="0"/>
    <n v="26"/>
    <n v="24"/>
    <n v="0.92307692307692313"/>
    <x v="1"/>
  </r>
  <r>
    <s v="E008"/>
    <x v="7"/>
    <x v="3"/>
    <x v="0"/>
    <n v="26"/>
    <n v="26"/>
    <n v="1"/>
    <x v="0"/>
  </r>
  <r>
    <s v="E009"/>
    <x v="8"/>
    <x v="0"/>
    <x v="0"/>
    <n v="26"/>
    <n v="21"/>
    <n v="0.80769230769230771"/>
    <x v="2"/>
  </r>
  <r>
    <s v="E010"/>
    <x v="9"/>
    <x v="1"/>
    <x v="0"/>
    <n v="26"/>
    <n v="25"/>
    <n v="0.96153846153846156"/>
    <x v="0"/>
  </r>
  <r>
    <s v="E001"/>
    <x v="0"/>
    <x v="0"/>
    <x v="1"/>
    <n v="24"/>
    <n v="23"/>
    <n v="0.95833333333333337"/>
    <x v="0"/>
  </r>
  <r>
    <s v="E002"/>
    <x v="1"/>
    <x v="1"/>
    <x v="1"/>
    <n v="24"/>
    <n v="22"/>
    <n v="0.91666666666666663"/>
    <x v="1"/>
  </r>
  <r>
    <s v="E003"/>
    <x v="2"/>
    <x v="2"/>
    <x v="1"/>
    <n v="24"/>
    <n v="24"/>
    <n v="1"/>
    <x v="0"/>
  </r>
  <r>
    <s v="E004"/>
    <x v="3"/>
    <x v="3"/>
    <x v="1"/>
    <n v="24"/>
    <n v="21"/>
    <n v="0.875"/>
    <x v="1"/>
  </r>
  <r>
    <s v="E005"/>
    <x v="4"/>
    <x v="0"/>
    <x v="1"/>
    <n v="24"/>
    <n v="20"/>
    <n v="0.83333333333333337"/>
    <x v="2"/>
  </r>
  <r>
    <s v="E006"/>
    <x v="5"/>
    <x v="1"/>
    <x v="1"/>
    <n v="24"/>
    <n v="24"/>
    <n v="1"/>
    <x v="0"/>
  </r>
  <r>
    <s v="E007"/>
    <x v="6"/>
    <x v="2"/>
    <x v="1"/>
    <n v="24"/>
    <n v="23"/>
    <n v="0.95833333333333337"/>
    <x v="0"/>
  </r>
  <r>
    <s v="E008"/>
    <x v="7"/>
    <x v="3"/>
    <x v="1"/>
    <n v="24"/>
    <n v="24"/>
    <n v="1"/>
    <x v="0"/>
  </r>
  <r>
    <s v="E009"/>
    <x v="8"/>
    <x v="0"/>
    <x v="1"/>
    <n v="24"/>
    <n v="19"/>
    <n v="0.79166666666666663"/>
    <x v="2"/>
  </r>
  <r>
    <s v="E010"/>
    <x v="9"/>
    <x v="1"/>
    <x v="1"/>
    <n v="24"/>
    <n v="23"/>
    <n v="0.95833333333333337"/>
    <x v="0"/>
  </r>
  <r>
    <s v="E001"/>
    <x v="0"/>
    <x v="0"/>
    <x v="2"/>
    <n v="26"/>
    <n v="25"/>
    <n v="0.96153846153846156"/>
    <x v="0"/>
  </r>
  <r>
    <s v="E002"/>
    <x v="1"/>
    <x v="1"/>
    <x v="2"/>
    <n v="26"/>
    <n v="24"/>
    <n v="0.92307692307692313"/>
    <x v="1"/>
  </r>
  <r>
    <s v="E003"/>
    <x v="2"/>
    <x v="2"/>
    <x v="2"/>
    <n v="26"/>
    <n v="26"/>
    <n v="1"/>
    <x v="0"/>
  </r>
  <r>
    <s v="E004"/>
    <x v="3"/>
    <x v="3"/>
    <x v="2"/>
    <n v="26"/>
    <n v="22"/>
    <n v="0.84615384615384615"/>
    <x v="2"/>
  </r>
  <r>
    <s v="E005"/>
    <x v="4"/>
    <x v="0"/>
    <x v="2"/>
    <n v="26"/>
    <n v="23"/>
    <n v="0.88461538461538458"/>
    <x v="1"/>
  </r>
  <r>
    <s v="E006"/>
    <x v="5"/>
    <x v="1"/>
    <x v="2"/>
    <n v="26"/>
    <n v="25"/>
    <n v="0.96153846153846156"/>
    <x v="0"/>
  </r>
  <r>
    <s v="E007"/>
    <x v="6"/>
    <x v="2"/>
    <x v="2"/>
    <n v="26"/>
    <n v="24"/>
    <n v="0.92307692307692313"/>
    <x v="1"/>
  </r>
  <r>
    <s v="E008"/>
    <x v="7"/>
    <x v="3"/>
    <x v="2"/>
    <n v="26"/>
    <n v="26"/>
    <n v="1"/>
    <x v="0"/>
  </r>
  <r>
    <s v="E009"/>
    <x v="8"/>
    <x v="0"/>
    <x v="2"/>
    <n v="26"/>
    <n v="21"/>
    <n v="0.80769230769230771"/>
    <x v="2"/>
  </r>
  <r>
    <s v="E010"/>
    <x v="9"/>
    <x v="1"/>
    <x v="2"/>
    <n v="26"/>
    <n v="25"/>
    <n v="0.96153846153846156"/>
    <x v="0"/>
  </r>
  <r>
    <s v="E001"/>
    <x v="0"/>
    <x v="0"/>
    <x v="3"/>
    <n v="25"/>
    <n v="24"/>
    <n v="0.96"/>
    <x v="0"/>
  </r>
  <r>
    <s v="E002"/>
    <x v="1"/>
    <x v="1"/>
    <x v="3"/>
    <n v="25"/>
    <n v="23"/>
    <n v="0.92"/>
    <x v="1"/>
  </r>
  <r>
    <s v="E003"/>
    <x v="2"/>
    <x v="2"/>
    <x v="3"/>
    <n v="25"/>
    <n v="25"/>
    <n v="1"/>
    <x v="0"/>
  </r>
  <r>
    <s v="E004"/>
    <x v="3"/>
    <x v="3"/>
    <x v="3"/>
    <n v="25"/>
    <n v="22"/>
    <n v="0.88"/>
    <x v="1"/>
  </r>
  <r>
    <s v="E005"/>
    <x v="4"/>
    <x v="0"/>
    <x v="3"/>
    <n v="25"/>
    <n v="21"/>
    <n v="0.84"/>
    <x v="2"/>
  </r>
  <r>
    <s v="E006"/>
    <x v="5"/>
    <x v="1"/>
    <x v="3"/>
    <n v="25"/>
    <n v="24"/>
    <n v="0.96"/>
    <x v="0"/>
  </r>
  <r>
    <s v="E007"/>
    <x v="6"/>
    <x v="2"/>
    <x v="3"/>
    <n v="25"/>
    <n v="23"/>
    <n v="0.92"/>
    <x v="1"/>
  </r>
  <r>
    <s v="E008"/>
    <x v="7"/>
    <x v="3"/>
    <x v="3"/>
    <n v="25"/>
    <n v="25"/>
    <n v="1"/>
    <x v="0"/>
  </r>
  <r>
    <s v="E009"/>
    <x v="8"/>
    <x v="0"/>
    <x v="3"/>
    <n v="25"/>
    <n v="20"/>
    <n v="0.8"/>
    <x v="2"/>
  </r>
  <r>
    <s v="E010"/>
    <x v="9"/>
    <x v="1"/>
    <x v="3"/>
    <n v="25"/>
    <n v="24"/>
    <n v="0.96"/>
    <x v="0"/>
  </r>
  <r>
    <s v="E001"/>
    <x v="0"/>
    <x v="0"/>
    <x v="4"/>
    <n v="26"/>
    <n v="25"/>
    <n v="0.96153846153846156"/>
    <x v="0"/>
  </r>
  <r>
    <s v="E002"/>
    <x v="1"/>
    <x v="1"/>
    <x v="4"/>
    <n v="26"/>
    <n v="24"/>
    <n v="0.92307692307692313"/>
    <x v="1"/>
  </r>
  <r>
    <s v="E003"/>
    <x v="2"/>
    <x v="2"/>
    <x v="4"/>
    <n v="26"/>
    <n v="26"/>
    <n v="1"/>
    <x v="0"/>
  </r>
  <r>
    <s v="E004"/>
    <x v="3"/>
    <x v="3"/>
    <x v="4"/>
    <n v="26"/>
    <n v="23"/>
    <n v="0.88461538461538458"/>
    <x v="1"/>
  </r>
  <r>
    <s v="E005"/>
    <x v="4"/>
    <x v="0"/>
    <x v="4"/>
    <n v="26"/>
    <n v="22"/>
    <n v="0.84615384615384615"/>
    <x v="2"/>
  </r>
  <r>
    <s v="E006"/>
    <x v="5"/>
    <x v="1"/>
    <x v="4"/>
    <n v="26"/>
    <n v="25"/>
    <n v="0.96153846153846156"/>
    <x v="0"/>
  </r>
  <r>
    <s v="E007"/>
    <x v="6"/>
    <x v="2"/>
    <x v="4"/>
    <n v="26"/>
    <n v="24"/>
    <n v="0.92307692307692313"/>
    <x v="1"/>
  </r>
  <r>
    <s v="E008"/>
    <x v="7"/>
    <x v="3"/>
    <x v="4"/>
    <n v="26"/>
    <n v="26"/>
    <n v="1"/>
    <x v="0"/>
  </r>
  <r>
    <s v="E009"/>
    <x v="8"/>
    <x v="0"/>
    <x v="4"/>
    <n v="26"/>
    <n v="21"/>
    <n v="0.80769230769230771"/>
    <x v="2"/>
  </r>
  <r>
    <s v="E010"/>
    <x v="9"/>
    <x v="1"/>
    <x v="4"/>
    <n v="26"/>
    <n v="25"/>
    <n v="0.96153846153846156"/>
    <x v="0"/>
  </r>
  <r>
    <s v="E001"/>
    <x v="0"/>
    <x v="0"/>
    <x v="0"/>
    <n v="26"/>
    <n v="25"/>
    <n v="0.96153846153846156"/>
    <x v="0"/>
  </r>
  <r>
    <s v="E002"/>
    <x v="1"/>
    <x v="1"/>
    <x v="0"/>
    <n v="26"/>
    <n v="24"/>
    <n v="0.92307692307692313"/>
    <x v="1"/>
  </r>
  <r>
    <s v="E003"/>
    <x v="2"/>
    <x v="2"/>
    <x v="0"/>
    <n v="26"/>
    <n v="26"/>
    <n v="1"/>
    <x v="0"/>
  </r>
  <r>
    <s v="E004"/>
    <x v="3"/>
    <x v="3"/>
    <x v="0"/>
    <n v="26"/>
    <n v="23"/>
    <n v="0.88461538461538458"/>
    <x v="1"/>
  </r>
  <r>
    <s v="E005"/>
    <x v="4"/>
    <x v="0"/>
    <x v="0"/>
    <n v="26"/>
    <n v="22"/>
    <n v="0.84615384615384615"/>
    <x v="2"/>
  </r>
  <r>
    <s v="E006"/>
    <x v="5"/>
    <x v="1"/>
    <x v="0"/>
    <n v="26"/>
    <n v="25"/>
    <n v="0.96153846153846156"/>
    <x v="0"/>
  </r>
  <r>
    <s v="E007"/>
    <x v="6"/>
    <x v="2"/>
    <x v="0"/>
    <n v="26"/>
    <n v="24"/>
    <n v="0.92307692307692313"/>
    <x v="1"/>
  </r>
  <r>
    <s v="E008"/>
    <x v="7"/>
    <x v="3"/>
    <x v="0"/>
    <n v="26"/>
    <n v="26"/>
    <n v="1"/>
    <x v="0"/>
  </r>
  <r>
    <s v="E009"/>
    <x v="8"/>
    <x v="0"/>
    <x v="0"/>
    <n v="26"/>
    <n v="21"/>
    <n v="0.80769230769230771"/>
    <x v="2"/>
  </r>
  <r>
    <s v="E010"/>
    <x v="9"/>
    <x v="1"/>
    <x v="0"/>
    <n v="26"/>
    <n v="25"/>
    <n v="0.96153846153846156"/>
    <x v="0"/>
  </r>
  <r>
    <s v="E001"/>
    <x v="0"/>
    <x v="0"/>
    <x v="1"/>
    <n v="24"/>
    <n v="23"/>
    <n v="0.95833333333333337"/>
    <x v="0"/>
  </r>
  <r>
    <s v="E002"/>
    <x v="1"/>
    <x v="1"/>
    <x v="1"/>
    <n v="24"/>
    <n v="22"/>
    <n v="0.91666666666666663"/>
    <x v="1"/>
  </r>
  <r>
    <s v="E003"/>
    <x v="2"/>
    <x v="2"/>
    <x v="1"/>
    <n v="24"/>
    <n v="24"/>
    <n v="1"/>
    <x v="0"/>
  </r>
  <r>
    <s v="E004"/>
    <x v="3"/>
    <x v="3"/>
    <x v="1"/>
    <n v="24"/>
    <n v="21"/>
    <n v="0.875"/>
    <x v="1"/>
  </r>
  <r>
    <s v="E005"/>
    <x v="4"/>
    <x v="0"/>
    <x v="1"/>
    <n v="24"/>
    <n v="20"/>
    <n v="0.83333333333333337"/>
    <x v="2"/>
  </r>
  <r>
    <s v="E006"/>
    <x v="5"/>
    <x v="1"/>
    <x v="1"/>
    <n v="24"/>
    <n v="24"/>
    <n v="1"/>
    <x v="0"/>
  </r>
  <r>
    <s v="E007"/>
    <x v="6"/>
    <x v="2"/>
    <x v="1"/>
    <n v="24"/>
    <n v="23"/>
    <n v="0.95833333333333337"/>
    <x v="0"/>
  </r>
  <r>
    <s v="E008"/>
    <x v="7"/>
    <x v="3"/>
    <x v="1"/>
    <n v="24"/>
    <n v="24"/>
    <n v="1"/>
    <x v="0"/>
  </r>
  <r>
    <s v="E009"/>
    <x v="8"/>
    <x v="0"/>
    <x v="1"/>
    <n v="24"/>
    <n v="19"/>
    <n v="0.79166666666666663"/>
    <x v="2"/>
  </r>
  <r>
    <s v="E010"/>
    <x v="9"/>
    <x v="1"/>
    <x v="1"/>
    <n v="24"/>
    <n v="23"/>
    <n v="0.95833333333333337"/>
    <x v="0"/>
  </r>
  <r>
    <s v="E001"/>
    <x v="0"/>
    <x v="0"/>
    <x v="2"/>
    <n v="26"/>
    <n v="25"/>
    <n v="0.96153846153846156"/>
    <x v="0"/>
  </r>
  <r>
    <s v="E002"/>
    <x v="1"/>
    <x v="1"/>
    <x v="2"/>
    <n v="26"/>
    <n v="24"/>
    <n v="0.92307692307692313"/>
    <x v="1"/>
  </r>
  <r>
    <s v="E003"/>
    <x v="2"/>
    <x v="2"/>
    <x v="2"/>
    <n v="26"/>
    <n v="26"/>
    <n v="1"/>
    <x v="0"/>
  </r>
  <r>
    <s v="E004"/>
    <x v="3"/>
    <x v="3"/>
    <x v="2"/>
    <n v="26"/>
    <n v="22"/>
    <n v="0.84615384615384615"/>
    <x v="2"/>
  </r>
  <r>
    <s v="E005"/>
    <x v="4"/>
    <x v="0"/>
    <x v="2"/>
    <n v="26"/>
    <n v="23"/>
    <n v="0.88461538461538458"/>
    <x v="1"/>
  </r>
  <r>
    <s v="E006"/>
    <x v="5"/>
    <x v="1"/>
    <x v="2"/>
    <n v="26"/>
    <n v="25"/>
    <n v="0.96153846153846156"/>
    <x v="0"/>
  </r>
  <r>
    <s v="E007"/>
    <x v="6"/>
    <x v="2"/>
    <x v="2"/>
    <n v="26"/>
    <n v="24"/>
    <n v="0.92307692307692313"/>
    <x v="1"/>
  </r>
  <r>
    <s v="E008"/>
    <x v="7"/>
    <x v="3"/>
    <x v="2"/>
    <n v="26"/>
    <n v="26"/>
    <n v="1"/>
    <x v="0"/>
  </r>
  <r>
    <s v="E009"/>
    <x v="8"/>
    <x v="0"/>
    <x v="2"/>
    <n v="26"/>
    <n v="21"/>
    <n v="0.80769230769230771"/>
    <x v="2"/>
  </r>
  <r>
    <s v="E010"/>
    <x v="9"/>
    <x v="1"/>
    <x v="2"/>
    <n v="26"/>
    <n v="25"/>
    <n v="0.96153846153846156"/>
    <x v="0"/>
  </r>
  <r>
    <s v="E001"/>
    <x v="0"/>
    <x v="0"/>
    <x v="3"/>
    <n v="25"/>
    <n v="24"/>
    <n v="0.96"/>
    <x v="0"/>
  </r>
  <r>
    <s v="E002"/>
    <x v="1"/>
    <x v="1"/>
    <x v="3"/>
    <n v="25"/>
    <n v="23"/>
    <n v="0.92"/>
    <x v="1"/>
  </r>
  <r>
    <s v="E003"/>
    <x v="2"/>
    <x v="2"/>
    <x v="3"/>
    <n v="25"/>
    <n v="25"/>
    <n v="1"/>
    <x v="0"/>
  </r>
  <r>
    <s v="E004"/>
    <x v="3"/>
    <x v="3"/>
    <x v="3"/>
    <n v="25"/>
    <n v="22"/>
    <n v="0.88"/>
    <x v="1"/>
  </r>
  <r>
    <s v="E005"/>
    <x v="4"/>
    <x v="0"/>
    <x v="3"/>
    <n v="25"/>
    <n v="21"/>
    <n v="0.84"/>
    <x v="2"/>
  </r>
  <r>
    <s v="E006"/>
    <x v="5"/>
    <x v="1"/>
    <x v="3"/>
    <n v="25"/>
    <n v="24"/>
    <n v="0.96"/>
    <x v="0"/>
  </r>
  <r>
    <s v="E007"/>
    <x v="6"/>
    <x v="2"/>
    <x v="3"/>
    <n v="25"/>
    <n v="23"/>
    <n v="0.92"/>
    <x v="1"/>
  </r>
  <r>
    <s v="E008"/>
    <x v="7"/>
    <x v="3"/>
    <x v="3"/>
    <n v="25"/>
    <n v="25"/>
    <n v="1"/>
    <x v="0"/>
  </r>
  <r>
    <s v="E009"/>
    <x v="8"/>
    <x v="0"/>
    <x v="3"/>
    <n v="25"/>
    <n v="20"/>
    <n v="0.8"/>
    <x v="2"/>
  </r>
  <r>
    <s v="E010"/>
    <x v="9"/>
    <x v="1"/>
    <x v="3"/>
    <n v="25"/>
    <n v="24"/>
    <n v="0.96"/>
    <x v="0"/>
  </r>
  <r>
    <s v="E001"/>
    <x v="0"/>
    <x v="0"/>
    <x v="4"/>
    <n v="26"/>
    <n v="25"/>
    <n v="0.96153846153846156"/>
    <x v="0"/>
  </r>
  <r>
    <s v="E002"/>
    <x v="1"/>
    <x v="1"/>
    <x v="4"/>
    <n v="26"/>
    <n v="24"/>
    <n v="0.92307692307692313"/>
    <x v="1"/>
  </r>
  <r>
    <s v="E003"/>
    <x v="2"/>
    <x v="2"/>
    <x v="4"/>
    <n v="26"/>
    <n v="26"/>
    <n v="1"/>
    <x v="0"/>
  </r>
  <r>
    <s v="E004"/>
    <x v="3"/>
    <x v="3"/>
    <x v="4"/>
    <n v="26"/>
    <n v="23"/>
    <n v="0.88461538461538458"/>
    <x v="1"/>
  </r>
  <r>
    <s v="E005"/>
    <x v="4"/>
    <x v="0"/>
    <x v="4"/>
    <n v="26"/>
    <n v="22"/>
    <n v="0.84615384615384615"/>
    <x v="2"/>
  </r>
  <r>
    <s v="E006"/>
    <x v="5"/>
    <x v="1"/>
    <x v="4"/>
    <n v="26"/>
    <n v="25"/>
    <n v="0.96153846153846156"/>
    <x v="0"/>
  </r>
  <r>
    <s v="E007"/>
    <x v="6"/>
    <x v="2"/>
    <x v="4"/>
    <n v="26"/>
    <n v="24"/>
    <n v="0.92307692307692313"/>
    <x v="1"/>
  </r>
  <r>
    <s v="E008"/>
    <x v="7"/>
    <x v="3"/>
    <x v="4"/>
    <n v="26"/>
    <n v="26"/>
    <n v="1"/>
    <x v="0"/>
  </r>
  <r>
    <s v="E009"/>
    <x v="8"/>
    <x v="0"/>
    <x v="4"/>
    <n v="26"/>
    <n v="21"/>
    <n v="0.80769230769230771"/>
    <x v="2"/>
  </r>
  <r>
    <s v="E010"/>
    <x v="9"/>
    <x v="1"/>
    <x v="4"/>
    <n v="26"/>
    <n v="25"/>
    <n v="0.96153846153846156"/>
    <x v="0"/>
  </r>
  <r>
    <s v="E001"/>
    <x v="0"/>
    <x v="0"/>
    <x v="0"/>
    <n v="26"/>
    <n v="25"/>
    <n v="0.96153846153846156"/>
    <x v="0"/>
  </r>
  <r>
    <s v="E002"/>
    <x v="1"/>
    <x v="1"/>
    <x v="0"/>
    <n v="26"/>
    <n v="24"/>
    <n v="0.92307692307692313"/>
    <x v="1"/>
  </r>
  <r>
    <s v="E003"/>
    <x v="2"/>
    <x v="2"/>
    <x v="0"/>
    <n v="26"/>
    <n v="26"/>
    <n v="1"/>
    <x v="0"/>
  </r>
  <r>
    <s v="E004"/>
    <x v="3"/>
    <x v="3"/>
    <x v="0"/>
    <n v="26"/>
    <n v="23"/>
    <n v="0.88461538461538458"/>
    <x v="1"/>
  </r>
  <r>
    <s v="E005"/>
    <x v="4"/>
    <x v="0"/>
    <x v="0"/>
    <n v="26"/>
    <n v="22"/>
    <n v="0.84615384615384615"/>
    <x v="2"/>
  </r>
  <r>
    <s v="E006"/>
    <x v="5"/>
    <x v="1"/>
    <x v="0"/>
    <n v="26"/>
    <n v="25"/>
    <n v="0.96153846153846156"/>
    <x v="0"/>
  </r>
  <r>
    <s v="E007"/>
    <x v="6"/>
    <x v="2"/>
    <x v="0"/>
    <n v="26"/>
    <n v="24"/>
    <n v="0.92307692307692313"/>
    <x v="1"/>
  </r>
  <r>
    <s v="E008"/>
    <x v="7"/>
    <x v="3"/>
    <x v="0"/>
    <n v="26"/>
    <n v="26"/>
    <n v="1"/>
    <x v="0"/>
  </r>
  <r>
    <s v="E009"/>
    <x v="8"/>
    <x v="0"/>
    <x v="0"/>
    <n v="26"/>
    <n v="21"/>
    <n v="0.80769230769230771"/>
    <x v="2"/>
  </r>
  <r>
    <s v="E010"/>
    <x v="9"/>
    <x v="1"/>
    <x v="0"/>
    <n v="26"/>
    <n v="25"/>
    <n v="0.96153846153846156"/>
    <x v="0"/>
  </r>
  <r>
    <s v="E001"/>
    <x v="0"/>
    <x v="0"/>
    <x v="1"/>
    <n v="24"/>
    <n v="23"/>
    <n v="0.95833333333333337"/>
    <x v="0"/>
  </r>
  <r>
    <s v="E002"/>
    <x v="1"/>
    <x v="1"/>
    <x v="1"/>
    <n v="24"/>
    <n v="22"/>
    <n v="0.91666666666666663"/>
    <x v="1"/>
  </r>
  <r>
    <s v="E003"/>
    <x v="2"/>
    <x v="2"/>
    <x v="1"/>
    <n v="24"/>
    <n v="24"/>
    <n v="1"/>
    <x v="0"/>
  </r>
  <r>
    <s v="E004"/>
    <x v="3"/>
    <x v="3"/>
    <x v="1"/>
    <n v="24"/>
    <n v="21"/>
    <n v="0.875"/>
    <x v="1"/>
  </r>
  <r>
    <s v="E005"/>
    <x v="4"/>
    <x v="0"/>
    <x v="1"/>
    <n v="24"/>
    <n v="20"/>
    <n v="0.83333333333333337"/>
    <x v="2"/>
  </r>
  <r>
    <s v="E006"/>
    <x v="5"/>
    <x v="1"/>
    <x v="1"/>
    <n v="24"/>
    <n v="24"/>
    <n v="1"/>
    <x v="0"/>
  </r>
  <r>
    <s v="E007"/>
    <x v="6"/>
    <x v="2"/>
    <x v="1"/>
    <n v="24"/>
    <n v="23"/>
    <n v="0.95833333333333337"/>
    <x v="0"/>
  </r>
  <r>
    <s v="E008"/>
    <x v="7"/>
    <x v="3"/>
    <x v="1"/>
    <n v="24"/>
    <n v="24"/>
    <n v="1"/>
    <x v="0"/>
  </r>
  <r>
    <s v="E009"/>
    <x v="8"/>
    <x v="0"/>
    <x v="1"/>
    <n v="24"/>
    <n v="19"/>
    <n v="0.79166666666666663"/>
    <x v="2"/>
  </r>
  <r>
    <s v="E010"/>
    <x v="9"/>
    <x v="1"/>
    <x v="1"/>
    <n v="24"/>
    <n v="23"/>
    <n v="0.95833333333333337"/>
    <x v="0"/>
  </r>
  <r>
    <s v="E001"/>
    <x v="0"/>
    <x v="0"/>
    <x v="2"/>
    <n v="26"/>
    <n v="25"/>
    <n v="0.96153846153846156"/>
    <x v="0"/>
  </r>
  <r>
    <s v="E002"/>
    <x v="1"/>
    <x v="1"/>
    <x v="2"/>
    <n v="26"/>
    <n v="24"/>
    <n v="0.92307692307692313"/>
    <x v="1"/>
  </r>
  <r>
    <s v="E003"/>
    <x v="2"/>
    <x v="2"/>
    <x v="2"/>
    <n v="26"/>
    <n v="26"/>
    <n v="1"/>
    <x v="0"/>
  </r>
  <r>
    <s v="E004"/>
    <x v="3"/>
    <x v="3"/>
    <x v="2"/>
    <n v="26"/>
    <n v="22"/>
    <n v="0.84615384615384615"/>
    <x v="2"/>
  </r>
  <r>
    <s v="E005"/>
    <x v="4"/>
    <x v="0"/>
    <x v="2"/>
    <n v="26"/>
    <n v="23"/>
    <n v="0.88461538461538458"/>
    <x v="1"/>
  </r>
  <r>
    <s v="E006"/>
    <x v="5"/>
    <x v="1"/>
    <x v="2"/>
    <n v="26"/>
    <n v="25"/>
    <n v="0.96153846153846156"/>
    <x v="0"/>
  </r>
  <r>
    <s v="E007"/>
    <x v="6"/>
    <x v="2"/>
    <x v="2"/>
    <n v="26"/>
    <n v="24"/>
    <n v="0.92307692307692313"/>
    <x v="1"/>
  </r>
  <r>
    <s v="E008"/>
    <x v="7"/>
    <x v="3"/>
    <x v="2"/>
    <n v="26"/>
    <n v="26"/>
    <n v="1"/>
    <x v="0"/>
  </r>
  <r>
    <s v="E009"/>
    <x v="8"/>
    <x v="0"/>
    <x v="2"/>
    <n v="26"/>
    <n v="21"/>
    <n v="0.80769230769230771"/>
    <x v="2"/>
  </r>
  <r>
    <s v="E010"/>
    <x v="9"/>
    <x v="1"/>
    <x v="2"/>
    <n v="26"/>
    <n v="25"/>
    <n v="0.96153846153846156"/>
    <x v="0"/>
  </r>
  <r>
    <s v="E001"/>
    <x v="0"/>
    <x v="0"/>
    <x v="3"/>
    <n v="25"/>
    <n v="24"/>
    <n v="0.96"/>
    <x v="0"/>
  </r>
  <r>
    <s v="E002"/>
    <x v="1"/>
    <x v="1"/>
    <x v="3"/>
    <n v="25"/>
    <n v="23"/>
    <n v="0.92"/>
    <x v="1"/>
  </r>
  <r>
    <s v="E003"/>
    <x v="2"/>
    <x v="2"/>
    <x v="3"/>
    <n v="25"/>
    <n v="25"/>
    <n v="1"/>
    <x v="0"/>
  </r>
  <r>
    <s v="E004"/>
    <x v="3"/>
    <x v="3"/>
    <x v="3"/>
    <n v="25"/>
    <n v="22"/>
    <n v="0.88"/>
    <x v="1"/>
  </r>
  <r>
    <s v="E005"/>
    <x v="4"/>
    <x v="0"/>
    <x v="3"/>
    <n v="25"/>
    <n v="21"/>
    <n v="0.84"/>
    <x v="2"/>
  </r>
  <r>
    <s v="E006"/>
    <x v="5"/>
    <x v="1"/>
    <x v="3"/>
    <n v="25"/>
    <n v="24"/>
    <n v="0.96"/>
    <x v="0"/>
  </r>
  <r>
    <s v="E007"/>
    <x v="6"/>
    <x v="2"/>
    <x v="3"/>
    <n v="25"/>
    <n v="23"/>
    <n v="0.92"/>
    <x v="1"/>
  </r>
  <r>
    <s v="E008"/>
    <x v="7"/>
    <x v="3"/>
    <x v="3"/>
    <n v="25"/>
    <n v="25"/>
    <n v="1"/>
    <x v="0"/>
  </r>
  <r>
    <s v="E009"/>
    <x v="8"/>
    <x v="0"/>
    <x v="3"/>
    <n v="25"/>
    <n v="20"/>
    <n v="0.8"/>
    <x v="2"/>
  </r>
  <r>
    <s v="E010"/>
    <x v="9"/>
    <x v="1"/>
    <x v="3"/>
    <n v="25"/>
    <n v="24"/>
    <n v="0.96"/>
    <x v="0"/>
  </r>
  <r>
    <s v="E001"/>
    <x v="0"/>
    <x v="0"/>
    <x v="4"/>
    <n v="26"/>
    <n v="25"/>
    <n v="0.96153846153846156"/>
    <x v="0"/>
  </r>
  <r>
    <s v="E002"/>
    <x v="1"/>
    <x v="1"/>
    <x v="4"/>
    <n v="26"/>
    <n v="24"/>
    <n v="0.92307692307692313"/>
    <x v="1"/>
  </r>
  <r>
    <s v="E003"/>
    <x v="2"/>
    <x v="2"/>
    <x v="4"/>
    <n v="26"/>
    <n v="26"/>
    <n v="1"/>
    <x v="0"/>
  </r>
  <r>
    <s v="E004"/>
    <x v="3"/>
    <x v="3"/>
    <x v="4"/>
    <n v="26"/>
    <n v="23"/>
    <n v="0.88461538461538458"/>
    <x v="1"/>
  </r>
  <r>
    <s v="E005"/>
    <x v="4"/>
    <x v="0"/>
    <x v="4"/>
    <n v="26"/>
    <n v="22"/>
    <n v="0.84615384615384615"/>
    <x v="2"/>
  </r>
  <r>
    <s v="E006"/>
    <x v="5"/>
    <x v="1"/>
    <x v="4"/>
    <n v="26"/>
    <n v="25"/>
    <n v="0.96153846153846156"/>
    <x v="0"/>
  </r>
  <r>
    <s v="E007"/>
    <x v="6"/>
    <x v="2"/>
    <x v="4"/>
    <n v="26"/>
    <n v="24"/>
    <n v="0.92307692307692313"/>
    <x v="1"/>
  </r>
  <r>
    <s v="E008"/>
    <x v="7"/>
    <x v="3"/>
    <x v="4"/>
    <n v="26"/>
    <n v="26"/>
    <n v="1"/>
    <x v="0"/>
  </r>
  <r>
    <s v="E009"/>
    <x v="8"/>
    <x v="0"/>
    <x v="4"/>
    <n v="26"/>
    <n v="21"/>
    <n v="0.80769230769230771"/>
    <x v="2"/>
  </r>
  <r>
    <s v="E010"/>
    <x v="9"/>
    <x v="1"/>
    <x v="4"/>
    <n v="26"/>
    <n v="25"/>
    <n v="0.96153846153846156"/>
    <x v="0"/>
  </r>
  <r>
    <s v="E001"/>
    <x v="0"/>
    <x v="0"/>
    <x v="0"/>
    <n v="26"/>
    <n v="25"/>
    <n v="0.96153846153846156"/>
    <x v="0"/>
  </r>
  <r>
    <s v="E002"/>
    <x v="1"/>
    <x v="1"/>
    <x v="0"/>
    <n v="26"/>
    <n v="24"/>
    <n v="0.92307692307692313"/>
    <x v="1"/>
  </r>
  <r>
    <s v="E003"/>
    <x v="2"/>
    <x v="2"/>
    <x v="0"/>
    <n v="26"/>
    <n v="26"/>
    <n v="1"/>
    <x v="0"/>
  </r>
  <r>
    <s v="E004"/>
    <x v="3"/>
    <x v="3"/>
    <x v="0"/>
    <n v="26"/>
    <n v="23"/>
    <n v="0.88461538461538458"/>
    <x v="1"/>
  </r>
  <r>
    <s v="E005"/>
    <x v="4"/>
    <x v="0"/>
    <x v="0"/>
    <n v="26"/>
    <n v="22"/>
    <n v="0.84615384615384615"/>
    <x v="2"/>
  </r>
  <r>
    <s v="E006"/>
    <x v="5"/>
    <x v="1"/>
    <x v="0"/>
    <n v="26"/>
    <n v="25"/>
    <n v="0.96153846153846156"/>
    <x v="0"/>
  </r>
  <r>
    <s v="E007"/>
    <x v="6"/>
    <x v="2"/>
    <x v="0"/>
    <n v="26"/>
    <n v="24"/>
    <n v="0.92307692307692313"/>
    <x v="1"/>
  </r>
  <r>
    <s v="E008"/>
    <x v="7"/>
    <x v="3"/>
    <x v="0"/>
    <n v="26"/>
    <n v="26"/>
    <n v="1"/>
    <x v="0"/>
  </r>
  <r>
    <s v="E009"/>
    <x v="8"/>
    <x v="0"/>
    <x v="0"/>
    <n v="26"/>
    <n v="21"/>
    <n v="0.80769230769230771"/>
    <x v="2"/>
  </r>
  <r>
    <s v="E010"/>
    <x v="9"/>
    <x v="1"/>
    <x v="0"/>
    <n v="26"/>
    <n v="25"/>
    <n v="0.96153846153846156"/>
    <x v="0"/>
  </r>
  <r>
    <s v="E001"/>
    <x v="0"/>
    <x v="0"/>
    <x v="1"/>
    <n v="24"/>
    <n v="23"/>
    <n v="0.95833333333333337"/>
    <x v="0"/>
  </r>
  <r>
    <s v="E002"/>
    <x v="1"/>
    <x v="1"/>
    <x v="1"/>
    <n v="24"/>
    <n v="22"/>
    <n v="0.91666666666666663"/>
    <x v="1"/>
  </r>
  <r>
    <s v="E003"/>
    <x v="2"/>
    <x v="2"/>
    <x v="1"/>
    <n v="24"/>
    <n v="24"/>
    <n v="1"/>
    <x v="0"/>
  </r>
  <r>
    <s v="E004"/>
    <x v="3"/>
    <x v="3"/>
    <x v="1"/>
    <n v="24"/>
    <n v="21"/>
    <n v="0.875"/>
    <x v="1"/>
  </r>
  <r>
    <s v="E005"/>
    <x v="4"/>
    <x v="0"/>
    <x v="1"/>
    <n v="24"/>
    <n v="20"/>
    <n v="0.83333333333333337"/>
    <x v="2"/>
  </r>
  <r>
    <s v="E006"/>
    <x v="5"/>
    <x v="1"/>
    <x v="1"/>
    <n v="24"/>
    <n v="24"/>
    <n v="1"/>
    <x v="0"/>
  </r>
  <r>
    <s v="E007"/>
    <x v="6"/>
    <x v="2"/>
    <x v="1"/>
    <n v="24"/>
    <n v="23"/>
    <n v="0.95833333333333337"/>
    <x v="0"/>
  </r>
  <r>
    <s v="E008"/>
    <x v="7"/>
    <x v="3"/>
    <x v="1"/>
    <n v="24"/>
    <n v="24"/>
    <n v="1"/>
    <x v="0"/>
  </r>
  <r>
    <s v="E009"/>
    <x v="8"/>
    <x v="0"/>
    <x v="1"/>
    <n v="24"/>
    <n v="19"/>
    <n v="0.79166666666666663"/>
    <x v="2"/>
  </r>
  <r>
    <s v="E010"/>
    <x v="9"/>
    <x v="1"/>
    <x v="1"/>
    <n v="24"/>
    <n v="23"/>
    <n v="0.95833333333333337"/>
    <x v="0"/>
  </r>
  <r>
    <s v="E001"/>
    <x v="0"/>
    <x v="0"/>
    <x v="2"/>
    <n v="26"/>
    <n v="25"/>
    <n v="0.96153846153846156"/>
    <x v="0"/>
  </r>
  <r>
    <s v="E002"/>
    <x v="1"/>
    <x v="1"/>
    <x v="2"/>
    <n v="26"/>
    <n v="24"/>
    <n v="0.92307692307692313"/>
    <x v="1"/>
  </r>
  <r>
    <s v="E003"/>
    <x v="2"/>
    <x v="2"/>
    <x v="2"/>
    <n v="26"/>
    <n v="26"/>
    <n v="1"/>
    <x v="0"/>
  </r>
  <r>
    <s v="E004"/>
    <x v="3"/>
    <x v="3"/>
    <x v="2"/>
    <n v="26"/>
    <n v="22"/>
    <n v="0.84615384615384615"/>
    <x v="2"/>
  </r>
  <r>
    <s v="E005"/>
    <x v="4"/>
    <x v="0"/>
    <x v="2"/>
    <n v="26"/>
    <n v="23"/>
    <n v="0.88461538461538458"/>
    <x v="1"/>
  </r>
  <r>
    <s v="E006"/>
    <x v="5"/>
    <x v="1"/>
    <x v="2"/>
    <n v="26"/>
    <n v="25"/>
    <n v="0.96153846153846156"/>
    <x v="0"/>
  </r>
  <r>
    <s v="E007"/>
    <x v="6"/>
    <x v="2"/>
    <x v="2"/>
    <n v="26"/>
    <n v="24"/>
    <n v="0.92307692307692313"/>
    <x v="1"/>
  </r>
  <r>
    <s v="E008"/>
    <x v="7"/>
    <x v="3"/>
    <x v="2"/>
    <n v="26"/>
    <n v="26"/>
    <n v="1"/>
    <x v="0"/>
  </r>
  <r>
    <s v="E009"/>
    <x v="8"/>
    <x v="0"/>
    <x v="2"/>
    <n v="26"/>
    <n v="21"/>
    <n v="0.80769230769230771"/>
    <x v="2"/>
  </r>
  <r>
    <s v="E010"/>
    <x v="9"/>
    <x v="1"/>
    <x v="2"/>
    <n v="26"/>
    <n v="25"/>
    <n v="0.96153846153846156"/>
    <x v="0"/>
  </r>
  <r>
    <s v="E001"/>
    <x v="0"/>
    <x v="0"/>
    <x v="3"/>
    <n v="25"/>
    <n v="24"/>
    <n v="0.96"/>
    <x v="0"/>
  </r>
  <r>
    <s v="E002"/>
    <x v="1"/>
    <x v="1"/>
    <x v="3"/>
    <n v="25"/>
    <n v="23"/>
    <n v="0.92"/>
    <x v="1"/>
  </r>
  <r>
    <s v="E003"/>
    <x v="2"/>
    <x v="2"/>
    <x v="3"/>
    <n v="25"/>
    <n v="25"/>
    <n v="1"/>
    <x v="0"/>
  </r>
  <r>
    <s v="E004"/>
    <x v="3"/>
    <x v="3"/>
    <x v="3"/>
    <n v="25"/>
    <n v="22"/>
    <n v="0.88"/>
    <x v="1"/>
  </r>
  <r>
    <s v="E005"/>
    <x v="4"/>
    <x v="0"/>
    <x v="3"/>
    <n v="25"/>
    <n v="21"/>
    <n v="0.84"/>
    <x v="2"/>
  </r>
  <r>
    <s v="E006"/>
    <x v="5"/>
    <x v="1"/>
    <x v="3"/>
    <n v="25"/>
    <n v="24"/>
    <n v="0.96"/>
    <x v="0"/>
  </r>
  <r>
    <s v="E007"/>
    <x v="6"/>
    <x v="2"/>
    <x v="3"/>
    <n v="25"/>
    <n v="23"/>
    <n v="0.92"/>
    <x v="1"/>
  </r>
  <r>
    <s v="E008"/>
    <x v="7"/>
    <x v="3"/>
    <x v="3"/>
    <n v="25"/>
    <n v="25"/>
    <n v="1"/>
    <x v="0"/>
  </r>
  <r>
    <s v="E009"/>
    <x v="8"/>
    <x v="0"/>
    <x v="3"/>
    <n v="25"/>
    <n v="20"/>
    <n v="0.8"/>
    <x v="2"/>
  </r>
  <r>
    <s v="E010"/>
    <x v="9"/>
    <x v="1"/>
    <x v="3"/>
    <n v="25"/>
    <n v="24"/>
    <n v="0.96"/>
    <x v="0"/>
  </r>
  <r>
    <s v="E001"/>
    <x v="0"/>
    <x v="0"/>
    <x v="4"/>
    <n v="26"/>
    <n v="25"/>
    <n v="0.96153846153846156"/>
    <x v="0"/>
  </r>
  <r>
    <s v="E002"/>
    <x v="1"/>
    <x v="1"/>
    <x v="4"/>
    <n v="26"/>
    <n v="24"/>
    <n v="0.92307692307692313"/>
    <x v="1"/>
  </r>
  <r>
    <s v="E003"/>
    <x v="2"/>
    <x v="2"/>
    <x v="4"/>
    <n v="26"/>
    <n v="26"/>
    <n v="1"/>
    <x v="0"/>
  </r>
  <r>
    <s v="E004"/>
    <x v="3"/>
    <x v="3"/>
    <x v="4"/>
    <n v="26"/>
    <n v="23"/>
    <n v="0.88461538461538458"/>
    <x v="1"/>
  </r>
  <r>
    <s v="E005"/>
    <x v="4"/>
    <x v="0"/>
    <x v="4"/>
    <n v="26"/>
    <n v="22"/>
    <n v="0.84615384615384615"/>
    <x v="2"/>
  </r>
  <r>
    <s v="E006"/>
    <x v="5"/>
    <x v="1"/>
    <x v="4"/>
    <n v="26"/>
    <n v="25"/>
    <n v="0.96153846153846156"/>
    <x v="0"/>
  </r>
  <r>
    <s v="E007"/>
    <x v="6"/>
    <x v="2"/>
    <x v="4"/>
    <n v="26"/>
    <n v="24"/>
    <n v="0.92307692307692313"/>
    <x v="1"/>
  </r>
  <r>
    <s v="E008"/>
    <x v="7"/>
    <x v="3"/>
    <x v="4"/>
    <n v="26"/>
    <n v="26"/>
    <n v="1"/>
    <x v="0"/>
  </r>
  <r>
    <s v="E009"/>
    <x v="8"/>
    <x v="0"/>
    <x v="4"/>
    <n v="26"/>
    <n v="21"/>
    <n v="0.80769230769230771"/>
    <x v="2"/>
  </r>
  <r>
    <s v="E010"/>
    <x v="9"/>
    <x v="1"/>
    <x v="4"/>
    <n v="26"/>
    <n v="25"/>
    <n v="0.9615384615384615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D84898-63A2-4EDD-B20F-C90C3537AE81}" name="PivotTable1"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6" firstHeaderRow="1" firstDataRow="1" firstDataCol="1"/>
  <pivotFields count="8">
    <pivotField showAll="0"/>
    <pivotField showAll="0"/>
    <pivotField axis="axisRow" showAll="0">
      <items count="5">
        <item x="3"/>
        <item x="1"/>
        <item h="1" x="2"/>
        <item x="0"/>
        <item t="default"/>
      </items>
    </pivotField>
    <pivotField showAll="0">
      <items count="6">
        <item x="0"/>
        <item h="1" x="1"/>
        <item x="2"/>
        <item x="3"/>
        <item x="4"/>
        <item t="default"/>
      </items>
    </pivotField>
    <pivotField showAll="0"/>
    <pivotField showAll="0"/>
    <pivotField dataField="1" numFmtId="9" showAll="0"/>
    <pivotField showAll="0">
      <items count="4">
        <item h="1" x="2"/>
        <item x="0"/>
        <item x="1"/>
        <item t="default"/>
      </items>
    </pivotField>
  </pivotFields>
  <rowFields count="1">
    <field x="2"/>
  </rowFields>
  <rowItems count="3">
    <i>
      <x/>
    </i>
    <i>
      <x v="1"/>
    </i>
    <i>
      <x v="3"/>
    </i>
  </rowItems>
  <colItems count="1">
    <i/>
  </colItems>
  <dataFields count="1">
    <dataField name="Average of Attendance%" fld="6" subtotal="average" baseField="2" baseItem="0" numFmtId="9"/>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7CF044-E133-4E6E-935A-F7B219489EEB}" name="PivotTable2"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5" firstHeaderRow="1" firstDataRow="1" firstDataCol="1"/>
  <pivotFields count="8">
    <pivotField dataField="1" showAll="0"/>
    <pivotField showAll="0"/>
    <pivotField showAll="0">
      <items count="5">
        <item x="3"/>
        <item x="1"/>
        <item h="1" x="2"/>
        <item x="0"/>
        <item t="default"/>
      </items>
    </pivotField>
    <pivotField showAll="0">
      <items count="6">
        <item x="0"/>
        <item h="1" x="1"/>
        <item x="2"/>
        <item x="3"/>
        <item x="4"/>
        <item t="default"/>
      </items>
    </pivotField>
    <pivotField showAll="0"/>
    <pivotField showAll="0"/>
    <pivotField numFmtId="9" showAll="0"/>
    <pivotField axis="axisRow" showAll="0">
      <items count="4">
        <item h="1" x="2"/>
        <item x="0"/>
        <item x="1"/>
        <item t="default"/>
      </items>
    </pivotField>
  </pivotFields>
  <rowFields count="1">
    <field x="7"/>
  </rowFields>
  <rowItems count="2">
    <i>
      <x v="1"/>
    </i>
    <i>
      <x v="2"/>
    </i>
  </rowItems>
  <colItems count="1">
    <i/>
  </colItems>
  <dataFields count="1">
    <dataField name="Count of Employee ID" fld="0" subtotal="count"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677DCB-808B-4312-B09C-FE36849D85BF}" name="PivotTable3"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10" firstHeaderRow="1" firstDataRow="1" firstDataCol="1"/>
  <pivotFields count="8">
    <pivotField showAll="0"/>
    <pivotField axis="axisRow" showAll="0">
      <items count="11">
        <item x="4"/>
        <item x="0"/>
        <item x="7"/>
        <item x="3"/>
        <item x="5"/>
        <item x="1"/>
        <item x="2"/>
        <item x="8"/>
        <item x="9"/>
        <item x="6"/>
        <item t="default"/>
      </items>
    </pivotField>
    <pivotField showAll="0">
      <items count="5">
        <item x="3"/>
        <item x="1"/>
        <item h="1" x="2"/>
        <item x="0"/>
        <item t="default"/>
      </items>
    </pivotField>
    <pivotField showAll="0">
      <items count="6">
        <item x="0"/>
        <item h="1" x="1"/>
        <item x="2"/>
        <item x="3"/>
        <item x="4"/>
        <item t="default"/>
      </items>
    </pivotField>
    <pivotField showAll="0"/>
    <pivotField showAll="0"/>
    <pivotField dataField="1" numFmtId="9" showAll="0"/>
    <pivotField showAll="0">
      <items count="4">
        <item h="1" x="2"/>
        <item x="0"/>
        <item x="1"/>
        <item t="default"/>
      </items>
    </pivotField>
  </pivotFields>
  <rowFields count="1">
    <field x="1"/>
  </rowFields>
  <rowItems count="7">
    <i>
      <x/>
    </i>
    <i>
      <x v="1"/>
    </i>
    <i>
      <x v="2"/>
    </i>
    <i>
      <x v="3"/>
    </i>
    <i>
      <x v="4"/>
    </i>
    <i>
      <x v="5"/>
    </i>
    <i>
      <x v="8"/>
    </i>
  </rowItems>
  <colItems count="1">
    <i/>
  </colItems>
  <dataFields count="1">
    <dataField name="Average of Attendance%" fld="6" subtotal="average" baseField="1" baseItem="0" numFmtId="9"/>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F635856-78B7-47CE-A7F2-3CCA11D014D2}" sourceName="Department">
  <pivotTables>
    <pivotTable tabId="3" name="PivotTable1"/>
    <pivotTable tabId="4" name="PivotTable2"/>
    <pivotTable tabId="6" name="PivotTable3"/>
  </pivotTables>
  <data>
    <tabular pivotCacheId="1816205330">
      <items count="4">
        <i x="3" s="1"/>
        <i x="1" s="1"/>
        <i x="2"/>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E5422F9-08B4-4F21-9DD0-FFEA39B587F0}" sourceName="Month">
  <pivotTables>
    <pivotTable tabId="3" name="PivotTable1"/>
    <pivotTable tabId="4" name="PivotTable2"/>
    <pivotTable tabId="6" name="PivotTable3"/>
  </pivotTables>
  <data>
    <tabular pivotCacheId="1816205330">
      <items count="5">
        <i x="0" s="1"/>
        <i x="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Rating" xr10:uid="{09C61BDD-8760-45B2-ACDD-545ADC47F4DC}" sourceName="Performance Rating">
  <pivotTables>
    <pivotTable tabId="3" name="PivotTable1"/>
    <pivotTable tabId="4" name="PivotTable2"/>
    <pivotTable tabId="6" name="PivotTable3"/>
  </pivotTables>
  <data>
    <tabular pivotCacheId="1816205330">
      <items count="3">
        <i x="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B961F04-B3CC-4B06-AA7B-60DF134D86D8}" cache="Slicer_Department" caption="Department" rowHeight="234950"/>
  <slicer name="Month" xr10:uid="{7E3CB056-D12D-49A6-A1D1-B94F6FC2D98E}" cache="Slicer_Month" caption="Month" rowHeight="234950"/>
  <slicer name="Performance Rating" xr10:uid="{5A56D433-C216-4545-87B9-E5A9BF17E3FE}" cache="Slicer_Performance_Rating" caption="Performance Rating"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9EAAF7-6415-427B-9E0B-6D7D24DE886F}" name="Attendance_Table" displayName="Attendance_Table" ref="A1:H201" totalsRowShown="0" headerRowDxfId="7" dataDxfId="8">
  <autoFilter ref="A1:H201" xr:uid="{8E9EAAF7-6415-427B-9E0B-6D7D24DE886F}"/>
  <tableColumns count="8">
    <tableColumn id="1" xr3:uid="{ECEE45E9-61DF-435B-8EBB-D61A9AF03F31}" name="Employee ID" dataDxfId="13"/>
    <tableColumn id="2" xr3:uid="{ED059FF5-62D6-4281-AB2A-63DB75533EE2}" name="Employee Name" dataDxfId="12"/>
    <tableColumn id="3" xr3:uid="{A3337934-0A84-46E1-89D7-B6AEC428B637}" name="Department" dataDxfId="11"/>
    <tableColumn id="4" xr3:uid="{F4E1C4F4-0651-43BA-8A85-DC6C6CFF8162}" name="Month" dataDxfId="10"/>
    <tableColumn id="5" xr3:uid="{029B3CAB-52E9-476F-B3CD-8059FD53751A}" name="Working Days" dataDxfId="9"/>
    <tableColumn id="6" xr3:uid="{144C428A-7ED0-4A83-9C4D-B238B398940D}" name="Present Days" dataDxfId="6"/>
    <tableColumn id="7" xr3:uid="{D4AA7218-34F7-4AA5-B989-32A220C89F56}" name="Attendance%" dataCellStyle="Percent">
      <calculatedColumnFormula>Attendance_Table[[#This Row],[Present Days]]/Attendance_Table[[#This Row],[Working Days]]</calculatedColumnFormula>
    </tableColumn>
    <tableColumn id="8" xr3:uid="{26D1DB89-4FB3-4473-B0B3-77ACE346A7A9}" name="Performance Rating" dataDxfId="5">
      <calculatedColumnFormula>IF(Attendance_Table[[#This Row],[Attendance%]]&gt;=95%,"Excellent",
IF(Attendance_Table[[#This Row],[Attendance%]]&gt;=85%,"Good",
IF(Attendance_Table[[#This Row],[Attendance%]]&gt;=75%,"Average","Poor")))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7E10C-149E-42B6-A443-334144CB4AA6}">
  <dimension ref="A3:B6"/>
  <sheetViews>
    <sheetView workbookViewId="0">
      <selection activeCell="B4" sqref="B4"/>
    </sheetView>
  </sheetViews>
  <sheetFormatPr defaultRowHeight="14.4" x14ac:dyDescent="0.3"/>
  <cols>
    <col min="1" max="1" width="12.5546875" bestFit="1" customWidth="1"/>
    <col min="2" max="2" width="22.109375" bestFit="1" customWidth="1"/>
  </cols>
  <sheetData>
    <row r="3" spans="1:2" x14ac:dyDescent="0.3">
      <c r="A3" s="13" t="s">
        <v>42</v>
      </c>
      <c r="B3" t="s">
        <v>46</v>
      </c>
    </row>
    <row r="4" spans="1:2" x14ac:dyDescent="0.3">
      <c r="A4" s="14" t="s">
        <v>18</v>
      </c>
      <c r="B4" s="15">
        <v>0.94989010989010969</v>
      </c>
    </row>
    <row r="5" spans="1:2" x14ac:dyDescent="0.3">
      <c r="A5" s="14" t="s">
        <v>12</v>
      </c>
      <c r="B5" s="15">
        <v>0.9482051282051277</v>
      </c>
    </row>
    <row r="6" spans="1:2" x14ac:dyDescent="0.3">
      <c r="A6" s="14" t="s">
        <v>8</v>
      </c>
      <c r="B6" s="15">
        <v>0.94584615384615378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59FD6-5993-41E0-A0F5-1630CAC5921D}">
  <dimension ref="A3:B5"/>
  <sheetViews>
    <sheetView workbookViewId="0">
      <selection activeCell="A3" sqref="A3:B6"/>
    </sheetView>
  </sheetViews>
  <sheetFormatPr defaultRowHeight="14.4" x14ac:dyDescent="0.3"/>
  <cols>
    <col min="1" max="1" width="12.5546875" bestFit="1" customWidth="1"/>
    <col min="2" max="2" width="19.5546875" bestFit="1" customWidth="1"/>
  </cols>
  <sheetData>
    <row r="3" spans="1:2" x14ac:dyDescent="0.3">
      <c r="A3" s="13" t="s">
        <v>42</v>
      </c>
      <c r="B3" t="s">
        <v>45</v>
      </c>
    </row>
    <row r="4" spans="1:2" x14ac:dyDescent="0.3">
      <c r="A4" s="14" t="s">
        <v>43</v>
      </c>
      <c r="B4" s="16">
        <v>64</v>
      </c>
    </row>
    <row r="5" spans="1:2" x14ac:dyDescent="0.3">
      <c r="A5" s="14" t="s">
        <v>44</v>
      </c>
      <c r="B5" s="16">
        <v>32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05CB5-7B90-46C2-A635-6379319BDADB}">
  <dimension ref="A3:B10"/>
  <sheetViews>
    <sheetView workbookViewId="0">
      <selection activeCell="O16" sqref="O16"/>
    </sheetView>
  </sheetViews>
  <sheetFormatPr defaultRowHeight="14.4" x14ac:dyDescent="0.3"/>
  <cols>
    <col min="1" max="1" width="12.5546875" bestFit="1" customWidth="1"/>
    <col min="2" max="2" width="22.109375" bestFit="1" customWidth="1"/>
  </cols>
  <sheetData>
    <row r="3" spans="1:2" x14ac:dyDescent="0.3">
      <c r="A3" s="13" t="s">
        <v>42</v>
      </c>
      <c r="B3" t="s">
        <v>46</v>
      </c>
    </row>
    <row r="4" spans="1:2" x14ac:dyDescent="0.3">
      <c r="A4" s="14" t="s">
        <v>20</v>
      </c>
      <c r="B4" s="15">
        <v>0.88461538461538458</v>
      </c>
    </row>
    <row r="5" spans="1:2" x14ac:dyDescent="0.3">
      <c r="A5" s="14" t="s">
        <v>7</v>
      </c>
      <c r="B5" s="15">
        <v>0.96115384615384625</v>
      </c>
    </row>
    <row r="6" spans="1:2" x14ac:dyDescent="0.3">
      <c r="A6" s="14" t="s">
        <v>26</v>
      </c>
      <c r="B6" s="15">
        <v>1</v>
      </c>
    </row>
    <row r="7" spans="1:2" x14ac:dyDescent="0.3">
      <c r="A7" s="14" t="s">
        <v>17</v>
      </c>
      <c r="B7" s="15">
        <v>0.8830769230769232</v>
      </c>
    </row>
    <row r="8" spans="1:2" x14ac:dyDescent="0.3">
      <c r="A8" s="14" t="s">
        <v>22</v>
      </c>
      <c r="B8" s="15">
        <v>0.96115384615384614</v>
      </c>
    </row>
    <row r="9" spans="1:2" x14ac:dyDescent="0.3">
      <c r="A9" s="14" t="s">
        <v>11</v>
      </c>
      <c r="B9" s="15">
        <v>0.92230769230769238</v>
      </c>
    </row>
    <row r="10" spans="1:2" x14ac:dyDescent="0.3">
      <c r="A10" s="14" t="s">
        <v>30</v>
      </c>
      <c r="B10" s="15">
        <v>0.96115384615384614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ED1D5-15E6-406F-8BBB-EE3DAFADCBCA}">
  <dimension ref="A1:H201"/>
  <sheetViews>
    <sheetView topLeftCell="A2" workbookViewId="0">
      <selection activeCell="C11" sqref="C11"/>
    </sheetView>
  </sheetViews>
  <sheetFormatPr defaultRowHeight="14.4" x14ac:dyDescent="0.3"/>
  <cols>
    <col min="1" max="1" width="13.44140625" customWidth="1"/>
    <col min="2" max="2" width="16.6640625" customWidth="1"/>
    <col min="3" max="3" width="13" customWidth="1"/>
    <col min="5" max="5" width="14.44140625" customWidth="1"/>
    <col min="6" max="6" width="13.6640625" customWidth="1"/>
    <col min="7" max="7" width="14.109375" customWidth="1"/>
    <col min="8" max="8" width="19.5546875" customWidth="1"/>
  </cols>
  <sheetData>
    <row r="1" spans="1:8" ht="43.2" x14ac:dyDescent="0.3">
      <c r="A1" s="1" t="s">
        <v>0</v>
      </c>
      <c r="B1" s="1" t="s">
        <v>1</v>
      </c>
      <c r="C1" s="1" t="s">
        <v>2</v>
      </c>
      <c r="D1" s="1" t="s">
        <v>3</v>
      </c>
      <c r="E1" s="1" t="s">
        <v>4</v>
      </c>
      <c r="F1" s="1" t="s">
        <v>5</v>
      </c>
      <c r="G1" s="1" t="s">
        <v>35</v>
      </c>
      <c r="H1" s="1" t="s">
        <v>36</v>
      </c>
    </row>
    <row r="2" spans="1:8" x14ac:dyDescent="0.3">
      <c r="A2" s="2" t="s">
        <v>6</v>
      </c>
      <c r="B2" s="2" t="s">
        <v>7</v>
      </c>
      <c r="C2" s="2" t="s">
        <v>8</v>
      </c>
      <c r="D2" s="2" t="s">
        <v>9</v>
      </c>
      <c r="E2" s="2">
        <v>26</v>
      </c>
      <c r="F2" s="2">
        <v>25</v>
      </c>
      <c r="G2" s="3">
        <f>Attendance_Table[[#This Row],[Present Days]]/Attendance_Table[[#This Row],[Working Days]]</f>
        <v>0.96153846153846156</v>
      </c>
      <c r="H2" t="str">
        <f>IF(Attendance_Table[[#This Row],[Attendance%]]&gt;=95%,"Excellent",
IF(Attendance_Table[[#This Row],[Attendance%]]&gt;=85%,"Good",
IF(Attendance_Table[[#This Row],[Attendance%]]&gt;=75%,"Average","Poor")))</f>
        <v>Excellent</v>
      </c>
    </row>
    <row r="3" spans="1:8" x14ac:dyDescent="0.3">
      <c r="A3" s="2" t="s">
        <v>10</v>
      </c>
      <c r="B3" s="2" t="s">
        <v>11</v>
      </c>
      <c r="C3" s="2" t="s">
        <v>12</v>
      </c>
      <c r="D3" s="2" t="s">
        <v>9</v>
      </c>
      <c r="E3" s="2">
        <v>26</v>
      </c>
      <c r="F3" s="2">
        <v>24</v>
      </c>
      <c r="G3" s="3">
        <f>Attendance_Table[[#This Row],[Present Days]]/Attendance_Table[[#This Row],[Working Days]]</f>
        <v>0.92307692307692313</v>
      </c>
      <c r="H3" t="str">
        <f>IF(Attendance_Table[[#This Row],[Attendance%]]&gt;=95%,"Excellent",
IF(Attendance_Table[[#This Row],[Attendance%]]&gt;=85%,"Good",
IF(Attendance_Table[[#This Row],[Attendance%]]&gt;=75%,"Average","Poor")))</f>
        <v>Good</v>
      </c>
    </row>
    <row r="4" spans="1:8" x14ac:dyDescent="0.3">
      <c r="A4" s="2" t="s">
        <v>13</v>
      </c>
      <c r="B4" s="2" t="s">
        <v>14</v>
      </c>
      <c r="C4" s="2" t="s">
        <v>15</v>
      </c>
      <c r="D4" s="2" t="s">
        <v>9</v>
      </c>
      <c r="E4" s="2">
        <v>26</v>
      </c>
      <c r="F4" s="2">
        <v>26</v>
      </c>
      <c r="G4" s="3">
        <f>Attendance_Table[[#This Row],[Present Days]]/Attendance_Table[[#This Row],[Working Days]]</f>
        <v>1</v>
      </c>
      <c r="H4" t="str">
        <f>IF(Attendance_Table[[#This Row],[Attendance%]]&gt;=95%,"Excellent",
IF(Attendance_Table[[#This Row],[Attendance%]]&gt;=85%,"Good",
IF(Attendance_Table[[#This Row],[Attendance%]]&gt;=75%,"Average","Poor")))</f>
        <v>Excellent</v>
      </c>
    </row>
    <row r="5" spans="1:8" x14ac:dyDescent="0.3">
      <c r="A5" s="2" t="s">
        <v>16</v>
      </c>
      <c r="B5" s="2" t="s">
        <v>17</v>
      </c>
      <c r="C5" s="2" t="s">
        <v>18</v>
      </c>
      <c r="D5" s="2" t="s">
        <v>9</v>
      </c>
      <c r="E5" s="2">
        <v>26</v>
      </c>
      <c r="F5" s="2">
        <v>23</v>
      </c>
      <c r="G5" s="3">
        <f>Attendance_Table[[#This Row],[Present Days]]/Attendance_Table[[#This Row],[Working Days]]</f>
        <v>0.88461538461538458</v>
      </c>
      <c r="H5" t="str">
        <f>IF(Attendance_Table[[#This Row],[Attendance%]]&gt;=95%,"Excellent",
IF(Attendance_Table[[#This Row],[Attendance%]]&gt;=85%,"Good",
IF(Attendance_Table[[#This Row],[Attendance%]]&gt;=75%,"Average","Poor")))</f>
        <v>Good</v>
      </c>
    </row>
    <row r="6" spans="1:8" x14ac:dyDescent="0.3">
      <c r="A6" s="2" t="s">
        <v>19</v>
      </c>
      <c r="B6" s="2" t="s">
        <v>20</v>
      </c>
      <c r="C6" s="2" t="s">
        <v>8</v>
      </c>
      <c r="D6" s="2" t="s">
        <v>9</v>
      </c>
      <c r="E6" s="2">
        <v>26</v>
      </c>
      <c r="F6" s="2">
        <v>22</v>
      </c>
      <c r="G6" s="3">
        <f>Attendance_Table[[#This Row],[Present Days]]/Attendance_Table[[#This Row],[Working Days]]</f>
        <v>0.84615384615384615</v>
      </c>
      <c r="H6" t="str">
        <f>IF(Attendance_Table[[#This Row],[Attendance%]]&gt;=95%,"Excellent",
IF(Attendance_Table[[#This Row],[Attendance%]]&gt;=85%,"Good",
IF(Attendance_Table[[#This Row],[Attendance%]]&gt;=75%,"Average","Poor")))</f>
        <v>Average</v>
      </c>
    </row>
    <row r="7" spans="1:8" x14ac:dyDescent="0.3">
      <c r="A7" s="2" t="s">
        <v>21</v>
      </c>
      <c r="B7" s="2" t="s">
        <v>22</v>
      </c>
      <c r="C7" s="2" t="s">
        <v>12</v>
      </c>
      <c r="D7" s="2" t="s">
        <v>9</v>
      </c>
      <c r="E7" s="2">
        <v>26</v>
      </c>
      <c r="F7" s="2">
        <v>25</v>
      </c>
      <c r="G7" s="3">
        <f>Attendance_Table[[#This Row],[Present Days]]/Attendance_Table[[#This Row],[Working Days]]</f>
        <v>0.96153846153846156</v>
      </c>
      <c r="H7" t="str">
        <f>IF(Attendance_Table[[#This Row],[Attendance%]]&gt;=95%,"Excellent",
IF(Attendance_Table[[#This Row],[Attendance%]]&gt;=85%,"Good",
IF(Attendance_Table[[#This Row],[Attendance%]]&gt;=75%,"Average","Poor")))</f>
        <v>Excellent</v>
      </c>
    </row>
    <row r="8" spans="1:8" x14ac:dyDescent="0.3">
      <c r="A8" s="2" t="s">
        <v>23</v>
      </c>
      <c r="B8" s="2" t="s">
        <v>24</v>
      </c>
      <c r="C8" s="2" t="s">
        <v>15</v>
      </c>
      <c r="D8" s="2" t="s">
        <v>9</v>
      </c>
      <c r="E8" s="2">
        <v>26</v>
      </c>
      <c r="F8" s="2">
        <v>24</v>
      </c>
      <c r="G8" s="3">
        <f>Attendance_Table[[#This Row],[Present Days]]/Attendance_Table[[#This Row],[Working Days]]</f>
        <v>0.92307692307692313</v>
      </c>
      <c r="H8" t="str">
        <f>IF(Attendance_Table[[#This Row],[Attendance%]]&gt;=95%,"Excellent",
IF(Attendance_Table[[#This Row],[Attendance%]]&gt;=85%,"Good",
IF(Attendance_Table[[#This Row],[Attendance%]]&gt;=75%,"Average","Poor")))</f>
        <v>Good</v>
      </c>
    </row>
    <row r="9" spans="1:8" x14ac:dyDescent="0.3">
      <c r="A9" s="2" t="s">
        <v>25</v>
      </c>
      <c r="B9" s="2" t="s">
        <v>26</v>
      </c>
      <c r="C9" s="2" t="s">
        <v>18</v>
      </c>
      <c r="D9" s="2" t="s">
        <v>9</v>
      </c>
      <c r="E9" s="2">
        <v>26</v>
      </c>
      <c r="F9" s="2">
        <v>26</v>
      </c>
      <c r="G9" s="3">
        <f>Attendance_Table[[#This Row],[Present Days]]/Attendance_Table[[#This Row],[Working Days]]</f>
        <v>1</v>
      </c>
      <c r="H9" t="str">
        <f>IF(Attendance_Table[[#This Row],[Attendance%]]&gt;=95%,"Excellent",
IF(Attendance_Table[[#This Row],[Attendance%]]&gt;=85%,"Good",
IF(Attendance_Table[[#This Row],[Attendance%]]&gt;=75%,"Average","Poor")))</f>
        <v>Excellent</v>
      </c>
    </row>
    <row r="10" spans="1:8" x14ac:dyDescent="0.3">
      <c r="A10" s="2" t="s">
        <v>27</v>
      </c>
      <c r="B10" s="2" t="s">
        <v>28</v>
      </c>
      <c r="C10" s="2" t="s">
        <v>8</v>
      </c>
      <c r="D10" s="2" t="s">
        <v>9</v>
      </c>
      <c r="E10" s="2">
        <v>26</v>
      </c>
      <c r="F10" s="2">
        <v>21</v>
      </c>
      <c r="G10" s="3">
        <f>Attendance_Table[[#This Row],[Present Days]]/Attendance_Table[[#This Row],[Working Days]]</f>
        <v>0.80769230769230771</v>
      </c>
      <c r="H10" t="str">
        <f>IF(Attendance_Table[[#This Row],[Attendance%]]&gt;=95%,"Excellent",
IF(Attendance_Table[[#This Row],[Attendance%]]&gt;=85%,"Good",
IF(Attendance_Table[[#This Row],[Attendance%]]&gt;=75%,"Average","Poor")))</f>
        <v>Average</v>
      </c>
    </row>
    <row r="11" spans="1:8" x14ac:dyDescent="0.3">
      <c r="A11" s="2" t="s">
        <v>29</v>
      </c>
      <c r="B11" s="2" t="s">
        <v>30</v>
      </c>
      <c r="C11" s="2" t="s">
        <v>12</v>
      </c>
      <c r="D11" s="2" t="s">
        <v>9</v>
      </c>
      <c r="E11" s="2">
        <v>26</v>
      </c>
      <c r="F11" s="2">
        <v>25</v>
      </c>
      <c r="G11" s="3">
        <f>Attendance_Table[[#This Row],[Present Days]]/Attendance_Table[[#This Row],[Working Days]]</f>
        <v>0.96153846153846156</v>
      </c>
      <c r="H11" t="str">
        <f>IF(Attendance_Table[[#This Row],[Attendance%]]&gt;=95%,"Excellent",
IF(Attendance_Table[[#This Row],[Attendance%]]&gt;=85%,"Good",
IF(Attendance_Table[[#This Row],[Attendance%]]&gt;=75%,"Average","Poor")))</f>
        <v>Excellent</v>
      </c>
    </row>
    <row r="12" spans="1:8" x14ac:dyDescent="0.3">
      <c r="A12" s="2" t="s">
        <v>6</v>
      </c>
      <c r="B12" s="2" t="s">
        <v>7</v>
      </c>
      <c r="C12" s="2" t="s">
        <v>8</v>
      </c>
      <c r="D12" s="2" t="s">
        <v>31</v>
      </c>
      <c r="E12" s="2">
        <v>24</v>
      </c>
      <c r="F12" s="2">
        <v>23</v>
      </c>
      <c r="G12" s="3">
        <f>Attendance_Table[[#This Row],[Present Days]]/Attendance_Table[[#This Row],[Working Days]]</f>
        <v>0.95833333333333337</v>
      </c>
      <c r="H12" t="str">
        <f>IF(Attendance_Table[[#This Row],[Attendance%]]&gt;=95%,"Excellent",
IF(Attendance_Table[[#This Row],[Attendance%]]&gt;=85%,"Good",
IF(Attendance_Table[[#This Row],[Attendance%]]&gt;=75%,"Average","Poor")))</f>
        <v>Excellent</v>
      </c>
    </row>
    <row r="13" spans="1:8" x14ac:dyDescent="0.3">
      <c r="A13" s="2" t="s">
        <v>10</v>
      </c>
      <c r="B13" s="2" t="s">
        <v>11</v>
      </c>
      <c r="C13" s="2" t="s">
        <v>12</v>
      </c>
      <c r="D13" s="2" t="s">
        <v>31</v>
      </c>
      <c r="E13" s="2">
        <v>24</v>
      </c>
      <c r="F13" s="2">
        <v>22</v>
      </c>
      <c r="G13" s="3">
        <f>Attendance_Table[[#This Row],[Present Days]]/Attendance_Table[[#This Row],[Working Days]]</f>
        <v>0.91666666666666663</v>
      </c>
      <c r="H13" t="str">
        <f>IF(Attendance_Table[[#This Row],[Attendance%]]&gt;=95%,"Excellent",
IF(Attendance_Table[[#This Row],[Attendance%]]&gt;=85%,"Good",
IF(Attendance_Table[[#This Row],[Attendance%]]&gt;=75%,"Average","Poor")))</f>
        <v>Good</v>
      </c>
    </row>
    <row r="14" spans="1:8" x14ac:dyDescent="0.3">
      <c r="A14" s="2" t="s">
        <v>13</v>
      </c>
      <c r="B14" s="2" t="s">
        <v>14</v>
      </c>
      <c r="C14" s="2" t="s">
        <v>15</v>
      </c>
      <c r="D14" s="2" t="s">
        <v>31</v>
      </c>
      <c r="E14" s="2">
        <v>24</v>
      </c>
      <c r="F14" s="2">
        <v>24</v>
      </c>
      <c r="G14" s="3">
        <f>Attendance_Table[[#This Row],[Present Days]]/Attendance_Table[[#This Row],[Working Days]]</f>
        <v>1</v>
      </c>
      <c r="H14" t="str">
        <f>IF(Attendance_Table[[#This Row],[Attendance%]]&gt;=95%,"Excellent",
IF(Attendance_Table[[#This Row],[Attendance%]]&gt;=85%,"Good",
IF(Attendance_Table[[#This Row],[Attendance%]]&gt;=75%,"Average","Poor")))</f>
        <v>Excellent</v>
      </c>
    </row>
    <row r="15" spans="1:8" x14ac:dyDescent="0.3">
      <c r="A15" s="2" t="s">
        <v>16</v>
      </c>
      <c r="B15" s="2" t="s">
        <v>17</v>
      </c>
      <c r="C15" s="2" t="s">
        <v>18</v>
      </c>
      <c r="D15" s="2" t="s">
        <v>31</v>
      </c>
      <c r="E15" s="2">
        <v>24</v>
      </c>
      <c r="F15" s="2">
        <v>21</v>
      </c>
      <c r="G15" s="3">
        <f>Attendance_Table[[#This Row],[Present Days]]/Attendance_Table[[#This Row],[Working Days]]</f>
        <v>0.875</v>
      </c>
      <c r="H15" t="str">
        <f>IF(Attendance_Table[[#This Row],[Attendance%]]&gt;=95%,"Excellent",
IF(Attendance_Table[[#This Row],[Attendance%]]&gt;=85%,"Good",
IF(Attendance_Table[[#This Row],[Attendance%]]&gt;=75%,"Average","Poor")))</f>
        <v>Good</v>
      </c>
    </row>
    <row r="16" spans="1:8" x14ac:dyDescent="0.3">
      <c r="A16" s="2" t="s">
        <v>19</v>
      </c>
      <c r="B16" s="2" t="s">
        <v>20</v>
      </c>
      <c r="C16" s="2" t="s">
        <v>8</v>
      </c>
      <c r="D16" s="2" t="s">
        <v>31</v>
      </c>
      <c r="E16" s="2">
        <v>24</v>
      </c>
      <c r="F16" s="2">
        <v>20</v>
      </c>
      <c r="G16" s="3">
        <f>Attendance_Table[[#This Row],[Present Days]]/Attendance_Table[[#This Row],[Working Days]]</f>
        <v>0.83333333333333337</v>
      </c>
      <c r="H16" t="str">
        <f>IF(Attendance_Table[[#This Row],[Attendance%]]&gt;=95%,"Excellent",
IF(Attendance_Table[[#This Row],[Attendance%]]&gt;=85%,"Good",
IF(Attendance_Table[[#This Row],[Attendance%]]&gt;=75%,"Average","Poor")))</f>
        <v>Average</v>
      </c>
    </row>
    <row r="17" spans="1:8" x14ac:dyDescent="0.3">
      <c r="A17" s="2" t="s">
        <v>21</v>
      </c>
      <c r="B17" s="2" t="s">
        <v>22</v>
      </c>
      <c r="C17" s="2" t="s">
        <v>12</v>
      </c>
      <c r="D17" s="2" t="s">
        <v>31</v>
      </c>
      <c r="E17" s="2">
        <v>24</v>
      </c>
      <c r="F17" s="2">
        <v>24</v>
      </c>
      <c r="G17" s="3">
        <f>Attendance_Table[[#This Row],[Present Days]]/Attendance_Table[[#This Row],[Working Days]]</f>
        <v>1</v>
      </c>
      <c r="H17" t="str">
        <f>IF(Attendance_Table[[#This Row],[Attendance%]]&gt;=95%,"Excellent",
IF(Attendance_Table[[#This Row],[Attendance%]]&gt;=85%,"Good",
IF(Attendance_Table[[#This Row],[Attendance%]]&gt;=75%,"Average","Poor")))</f>
        <v>Excellent</v>
      </c>
    </row>
    <row r="18" spans="1:8" x14ac:dyDescent="0.3">
      <c r="A18" s="2" t="s">
        <v>23</v>
      </c>
      <c r="B18" s="2" t="s">
        <v>24</v>
      </c>
      <c r="C18" s="2" t="s">
        <v>15</v>
      </c>
      <c r="D18" s="2" t="s">
        <v>31</v>
      </c>
      <c r="E18" s="2">
        <v>24</v>
      </c>
      <c r="F18" s="2">
        <v>23</v>
      </c>
      <c r="G18" s="3">
        <f>Attendance_Table[[#This Row],[Present Days]]/Attendance_Table[[#This Row],[Working Days]]</f>
        <v>0.95833333333333337</v>
      </c>
      <c r="H18" t="str">
        <f>IF(Attendance_Table[[#This Row],[Attendance%]]&gt;=95%,"Excellent",
IF(Attendance_Table[[#This Row],[Attendance%]]&gt;=85%,"Good",
IF(Attendance_Table[[#This Row],[Attendance%]]&gt;=75%,"Average","Poor")))</f>
        <v>Excellent</v>
      </c>
    </row>
    <row r="19" spans="1:8" x14ac:dyDescent="0.3">
      <c r="A19" s="2" t="s">
        <v>25</v>
      </c>
      <c r="B19" s="2" t="s">
        <v>26</v>
      </c>
      <c r="C19" s="2" t="s">
        <v>18</v>
      </c>
      <c r="D19" s="2" t="s">
        <v>31</v>
      </c>
      <c r="E19" s="2">
        <v>24</v>
      </c>
      <c r="F19" s="2">
        <v>24</v>
      </c>
      <c r="G19" s="3">
        <f>Attendance_Table[[#This Row],[Present Days]]/Attendance_Table[[#This Row],[Working Days]]</f>
        <v>1</v>
      </c>
      <c r="H19" t="str">
        <f>IF(Attendance_Table[[#This Row],[Attendance%]]&gt;=95%,"Excellent",
IF(Attendance_Table[[#This Row],[Attendance%]]&gt;=85%,"Good",
IF(Attendance_Table[[#This Row],[Attendance%]]&gt;=75%,"Average","Poor")))</f>
        <v>Excellent</v>
      </c>
    </row>
    <row r="20" spans="1:8" x14ac:dyDescent="0.3">
      <c r="A20" s="2" t="s">
        <v>27</v>
      </c>
      <c r="B20" s="2" t="s">
        <v>28</v>
      </c>
      <c r="C20" s="2" t="s">
        <v>8</v>
      </c>
      <c r="D20" s="2" t="s">
        <v>31</v>
      </c>
      <c r="E20" s="2">
        <v>24</v>
      </c>
      <c r="F20" s="2">
        <v>19</v>
      </c>
      <c r="G20" s="3">
        <f>Attendance_Table[[#This Row],[Present Days]]/Attendance_Table[[#This Row],[Working Days]]</f>
        <v>0.79166666666666663</v>
      </c>
      <c r="H20" t="str">
        <f>IF(Attendance_Table[[#This Row],[Attendance%]]&gt;=95%,"Excellent",
IF(Attendance_Table[[#This Row],[Attendance%]]&gt;=85%,"Good",
IF(Attendance_Table[[#This Row],[Attendance%]]&gt;=75%,"Average","Poor")))</f>
        <v>Average</v>
      </c>
    </row>
    <row r="21" spans="1:8" x14ac:dyDescent="0.3">
      <c r="A21" s="2" t="s">
        <v>29</v>
      </c>
      <c r="B21" s="2" t="s">
        <v>30</v>
      </c>
      <c r="C21" s="2" t="s">
        <v>12</v>
      </c>
      <c r="D21" s="2" t="s">
        <v>31</v>
      </c>
      <c r="E21" s="2">
        <v>24</v>
      </c>
      <c r="F21" s="2">
        <v>23</v>
      </c>
      <c r="G21" s="3">
        <f>Attendance_Table[[#This Row],[Present Days]]/Attendance_Table[[#This Row],[Working Days]]</f>
        <v>0.95833333333333337</v>
      </c>
      <c r="H21" t="str">
        <f>IF(Attendance_Table[[#This Row],[Attendance%]]&gt;=95%,"Excellent",
IF(Attendance_Table[[#This Row],[Attendance%]]&gt;=85%,"Good",
IF(Attendance_Table[[#This Row],[Attendance%]]&gt;=75%,"Average","Poor")))</f>
        <v>Excellent</v>
      </c>
    </row>
    <row r="22" spans="1:8" x14ac:dyDescent="0.3">
      <c r="A22" s="2" t="s">
        <v>6</v>
      </c>
      <c r="B22" s="2" t="s">
        <v>7</v>
      </c>
      <c r="C22" s="2" t="s">
        <v>8</v>
      </c>
      <c r="D22" s="2" t="s">
        <v>32</v>
      </c>
      <c r="E22" s="2">
        <v>26</v>
      </c>
      <c r="F22" s="2">
        <v>25</v>
      </c>
      <c r="G22" s="3">
        <f>Attendance_Table[[#This Row],[Present Days]]/Attendance_Table[[#This Row],[Working Days]]</f>
        <v>0.96153846153846156</v>
      </c>
      <c r="H22" t="str">
        <f>IF(Attendance_Table[[#This Row],[Attendance%]]&gt;=95%,"Excellent",
IF(Attendance_Table[[#This Row],[Attendance%]]&gt;=85%,"Good",
IF(Attendance_Table[[#This Row],[Attendance%]]&gt;=75%,"Average","Poor")))</f>
        <v>Excellent</v>
      </c>
    </row>
    <row r="23" spans="1:8" x14ac:dyDescent="0.3">
      <c r="A23" s="2" t="s">
        <v>10</v>
      </c>
      <c r="B23" s="2" t="s">
        <v>11</v>
      </c>
      <c r="C23" s="2" t="s">
        <v>12</v>
      </c>
      <c r="D23" s="2" t="s">
        <v>32</v>
      </c>
      <c r="E23" s="2">
        <v>26</v>
      </c>
      <c r="F23" s="2">
        <v>24</v>
      </c>
      <c r="G23" s="3">
        <f>Attendance_Table[[#This Row],[Present Days]]/Attendance_Table[[#This Row],[Working Days]]</f>
        <v>0.92307692307692313</v>
      </c>
      <c r="H23" t="str">
        <f>IF(Attendance_Table[[#This Row],[Attendance%]]&gt;=95%,"Excellent",
IF(Attendance_Table[[#This Row],[Attendance%]]&gt;=85%,"Good",
IF(Attendance_Table[[#This Row],[Attendance%]]&gt;=75%,"Average","Poor")))</f>
        <v>Good</v>
      </c>
    </row>
    <row r="24" spans="1:8" x14ac:dyDescent="0.3">
      <c r="A24" s="2" t="s">
        <v>13</v>
      </c>
      <c r="B24" s="2" t="s">
        <v>14</v>
      </c>
      <c r="C24" s="2" t="s">
        <v>15</v>
      </c>
      <c r="D24" s="2" t="s">
        <v>32</v>
      </c>
      <c r="E24" s="2">
        <v>26</v>
      </c>
      <c r="F24" s="2">
        <v>26</v>
      </c>
      <c r="G24" s="3">
        <f>Attendance_Table[[#This Row],[Present Days]]/Attendance_Table[[#This Row],[Working Days]]</f>
        <v>1</v>
      </c>
      <c r="H24" t="str">
        <f>IF(Attendance_Table[[#This Row],[Attendance%]]&gt;=95%,"Excellent",
IF(Attendance_Table[[#This Row],[Attendance%]]&gt;=85%,"Good",
IF(Attendance_Table[[#This Row],[Attendance%]]&gt;=75%,"Average","Poor")))</f>
        <v>Excellent</v>
      </c>
    </row>
    <row r="25" spans="1:8" x14ac:dyDescent="0.3">
      <c r="A25" s="2" t="s">
        <v>16</v>
      </c>
      <c r="B25" s="2" t="s">
        <v>17</v>
      </c>
      <c r="C25" s="2" t="s">
        <v>18</v>
      </c>
      <c r="D25" s="2" t="s">
        <v>32</v>
      </c>
      <c r="E25" s="2">
        <v>26</v>
      </c>
      <c r="F25" s="2">
        <v>22</v>
      </c>
      <c r="G25" s="3">
        <f>Attendance_Table[[#This Row],[Present Days]]/Attendance_Table[[#This Row],[Working Days]]</f>
        <v>0.84615384615384615</v>
      </c>
      <c r="H25" t="str">
        <f>IF(Attendance_Table[[#This Row],[Attendance%]]&gt;=95%,"Excellent",
IF(Attendance_Table[[#This Row],[Attendance%]]&gt;=85%,"Good",
IF(Attendance_Table[[#This Row],[Attendance%]]&gt;=75%,"Average","Poor")))</f>
        <v>Average</v>
      </c>
    </row>
    <row r="26" spans="1:8" x14ac:dyDescent="0.3">
      <c r="A26" s="2" t="s">
        <v>19</v>
      </c>
      <c r="B26" s="2" t="s">
        <v>20</v>
      </c>
      <c r="C26" s="2" t="s">
        <v>8</v>
      </c>
      <c r="D26" s="2" t="s">
        <v>32</v>
      </c>
      <c r="E26" s="2">
        <v>26</v>
      </c>
      <c r="F26" s="2">
        <v>23</v>
      </c>
      <c r="G26" s="3">
        <f>Attendance_Table[[#This Row],[Present Days]]/Attendance_Table[[#This Row],[Working Days]]</f>
        <v>0.88461538461538458</v>
      </c>
      <c r="H26" t="str">
        <f>IF(Attendance_Table[[#This Row],[Attendance%]]&gt;=95%,"Excellent",
IF(Attendance_Table[[#This Row],[Attendance%]]&gt;=85%,"Good",
IF(Attendance_Table[[#This Row],[Attendance%]]&gt;=75%,"Average","Poor")))</f>
        <v>Good</v>
      </c>
    </row>
    <row r="27" spans="1:8" x14ac:dyDescent="0.3">
      <c r="A27" s="2" t="s">
        <v>21</v>
      </c>
      <c r="B27" s="2" t="s">
        <v>22</v>
      </c>
      <c r="C27" s="2" t="s">
        <v>12</v>
      </c>
      <c r="D27" s="2" t="s">
        <v>32</v>
      </c>
      <c r="E27" s="2">
        <v>26</v>
      </c>
      <c r="F27" s="2">
        <v>25</v>
      </c>
      <c r="G27" s="3">
        <f>Attendance_Table[[#This Row],[Present Days]]/Attendance_Table[[#This Row],[Working Days]]</f>
        <v>0.96153846153846156</v>
      </c>
      <c r="H27" t="str">
        <f>IF(Attendance_Table[[#This Row],[Attendance%]]&gt;=95%,"Excellent",
IF(Attendance_Table[[#This Row],[Attendance%]]&gt;=85%,"Good",
IF(Attendance_Table[[#This Row],[Attendance%]]&gt;=75%,"Average","Poor")))</f>
        <v>Excellent</v>
      </c>
    </row>
    <row r="28" spans="1:8" x14ac:dyDescent="0.3">
      <c r="A28" s="2" t="s">
        <v>23</v>
      </c>
      <c r="B28" s="2" t="s">
        <v>24</v>
      </c>
      <c r="C28" s="2" t="s">
        <v>15</v>
      </c>
      <c r="D28" s="2" t="s">
        <v>32</v>
      </c>
      <c r="E28" s="2">
        <v>26</v>
      </c>
      <c r="F28" s="2">
        <v>24</v>
      </c>
      <c r="G28" s="3">
        <f>Attendance_Table[[#This Row],[Present Days]]/Attendance_Table[[#This Row],[Working Days]]</f>
        <v>0.92307692307692313</v>
      </c>
      <c r="H28" t="str">
        <f>IF(Attendance_Table[[#This Row],[Attendance%]]&gt;=95%,"Excellent",
IF(Attendance_Table[[#This Row],[Attendance%]]&gt;=85%,"Good",
IF(Attendance_Table[[#This Row],[Attendance%]]&gt;=75%,"Average","Poor")))</f>
        <v>Good</v>
      </c>
    </row>
    <row r="29" spans="1:8" x14ac:dyDescent="0.3">
      <c r="A29" s="2" t="s">
        <v>25</v>
      </c>
      <c r="B29" s="2" t="s">
        <v>26</v>
      </c>
      <c r="C29" s="2" t="s">
        <v>18</v>
      </c>
      <c r="D29" s="2" t="s">
        <v>32</v>
      </c>
      <c r="E29" s="2">
        <v>26</v>
      </c>
      <c r="F29" s="2">
        <v>26</v>
      </c>
      <c r="G29" s="3">
        <f>Attendance_Table[[#This Row],[Present Days]]/Attendance_Table[[#This Row],[Working Days]]</f>
        <v>1</v>
      </c>
      <c r="H29" t="str">
        <f>IF(Attendance_Table[[#This Row],[Attendance%]]&gt;=95%,"Excellent",
IF(Attendance_Table[[#This Row],[Attendance%]]&gt;=85%,"Good",
IF(Attendance_Table[[#This Row],[Attendance%]]&gt;=75%,"Average","Poor")))</f>
        <v>Excellent</v>
      </c>
    </row>
    <row r="30" spans="1:8" x14ac:dyDescent="0.3">
      <c r="A30" s="2" t="s">
        <v>27</v>
      </c>
      <c r="B30" s="2" t="s">
        <v>28</v>
      </c>
      <c r="C30" s="2" t="s">
        <v>8</v>
      </c>
      <c r="D30" s="2" t="s">
        <v>32</v>
      </c>
      <c r="E30" s="2">
        <v>26</v>
      </c>
      <c r="F30" s="2">
        <v>21</v>
      </c>
      <c r="G30" s="3">
        <f>Attendance_Table[[#This Row],[Present Days]]/Attendance_Table[[#This Row],[Working Days]]</f>
        <v>0.80769230769230771</v>
      </c>
      <c r="H30" t="str">
        <f>IF(Attendance_Table[[#This Row],[Attendance%]]&gt;=95%,"Excellent",
IF(Attendance_Table[[#This Row],[Attendance%]]&gt;=85%,"Good",
IF(Attendance_Table[[#This Row],[Attendance%]]&gt;=75%,"Average","Poor")))</f>
        <v>Average</v>
      </c>
    </row>
    <row r="31" spans="1:8" x14ac:dyDescent="0.3">
      <c r="A31" s="2" t="s">
        <v>29</v>
      </c>
      <c r="B31" s="2" t="s">
        <v>30</v>
      </c>
      <c r="C31" s="2" t="s">
        <v>12</v>
      </c>
      <c r="D31" s="2" t="s">
        <v>32</v>
      </c>
      <c r="E31" s="2">
        <v>26</v>
      </c>
      <c r="F31" s="2">
        <v>25</v>
      </c>
      <c r="G31" s="3">
        <f>Attendance_Table[[#This Row],[Present Days]]/Attendance_Table[[#This Row],[Working Days]]</f>
        <v>0.96153846153846156</v>
      </c>
      <c r="H31" t="str">
        <f>IF(Attendance_Table[[#This Row],[Attendance%]]&gt;=95%,"Excellent",
IF(Attendance_Table[[#This Row],[Attendance%]]&gt;=85%,"Good",
IF(Attendance_Table[[#This Row],[Attendance%]]&gt;=75%,"Average","Poor")))</f>
        <v>Excellent</v>
      </c>
    </row>
    <row r="32" spans="1:8" x14ac:dyDescent="0.3">
      <c r="A32" s="2" t="s">
        <v>6</v>
      </c>
      <c r="B32" s="2" t="s">
        <v>7</v>
      </c>
      <c r="C32" s="2" t="s">
        <v>8</v>
      </c>
      <c r="D32" s="2" t="s">
        <v>33</v>
      </c>
      <c r="E32" s="2">
        <v>25</v>
      </c>
      <c r="F32" s="2">
        <v>24</v>
      </c>
      <c r="G32" s="3">
        <f>Attendance_Table[[#This Row],[Present Days]]/Attendance_Table[[#This Row],[Working Days]]</f>
        <v>0.96</v>
      </c>
      <c r="H32" t="str">
        <f>IF(Attendance_Table[[#This Row],[Attendance%]]&gt;=95%,"Excellent",
IF(Attendance_Table[[#This Row],[Attendance%]]&gt;=85%,"Good",
IF(Attendance_Table[[#This Row],[Attendance%]]&gt;=75%,"Average","Poor")))</f>
        <v>Excellent</v>
      </c>
    </row>
    <row r="33" spans="1:8" x14ac:dyDescent="0.3">
      <c r="A33" s="2" t="s">
        <v>10</v>
      </c>
      <c r="B33" s="2" t="s">
        <v>11</v>
      </c>
      <c r="C33" s="2" t="s">
        <v>12</v>
      </c>
      <c r="D33" s="2" t="s">
        <v>33</v>
      </c>
      <c r="E33" s="2">
        <v>25</v>
      </c>
      <c r="F33" s="2">
        <v>23</v>
      </c>
      <c r="G33" s="3">
        <f>Attendance_Table[[#This Row],[Present Days]]/Attendance_Table[[#This Row],[Working Days]]</f>
        <v>0.92</v>
      </c>
      <c r="H33" t="str">
        <f>IF(Attendance_Table[[#This Row],[Attendance%]]&gt;=95%,"Excellent",
IF(Attendance_Table[[#This Row],[Attendance%]]&gt;=85%,"Good",
IF(Attendance_Table[[#This Row],[Attendance%]]&gt;=75%,"Average","Poor")))</f>
        <v>Good</v>
      </c>
    </row>
    <row r="34" spans="1:8" x14ac:dyDescent="0.3">
      <c r="A34" s="2" t="s">
        <v>13</v>
      </c>
      <c r="B34" s="2" t="s">
        <v>14</v>
      </c>
      <c r="C34" s="2" t="s">
        <v>15</v>
      </c>
      <c r="D34" s="2" t="s">
        <v>33</v>
      </c>
      <c r="E34" s="2">
        <v>25</v>
      </c>
      <c r="F34" s="2">
        <v>25</v>
      </c>
      <c r="G34" s="3">
        <f>Attendance_Table[[#This Row],[Present Days]]/Attendance_Table[[#This Row],[Working Days]]</f>
        <v>1</v>
      </c>
      <c r="H34" t="str">
        <f>IF(Attendance_Table[[#This Row],[Attendance%]]&gt;=95%,"Excellent",
IF(Attendance_Table[[#This Row],[Attendance%]]&gt;=85%,"Good",
IF(Attendance_Table[[#This Row],[Attendance%]]&gt;=75%,"Average","Poor")))</f>
        <v>Excellent</v>
      </c>
    </row>
    <row r="35" spans="1:8" x14ac:dyDescent="0.3">
      <c r="A35" s="2" t="s">
        <v>16</v>
      </c>
      <c r="B35" s="2" t="s">
        <v>17</v>
      </c>
      <c r="C35" s="2" t="s">
        <v>18</v>
      </c>
      <c r="D35" s="2" t="s">
        <v>33</v>
      </c>
      <c r="E35" s="2">
        <v>25</v>
      </c>
      <c r="F35" s="2">
        <v>22</v>
      </c>
      <c r="G35" s="3">
        <f>Attendance_Table[[#This Row],[Present Days]]/Attendance_Table[[#This Row],[Working Days]]</f>
        <v>0.88</v>
      </c>
      <c r="H35" t="str">
        <f>IF(Attendance_Table[[#This Row],[Attendance%]]&gt;=95%,"Excellent",
IF(Attendance_Table[[#This Row],[Attendance%]]&gt;=85%,"Good",
IF(Attendance_Table[[#This Row],[Attendance%]]&gt;=75%,"Average","Poor")))</f>
        <v>Good</v>
      </c>
    </row>
    <row r="36" spans="1:8" x14ac:dyDescent="0.3">
      <c r="A36" s="2" t="s">
        <v>19</v>
      </c>
      <c r="B36" s="2" t="s">
        <v>20</v>
      </c>
      <c r="C36" s="2" t="s">
        <v>8</v>
      </c>
      <c r="D36" s="2" t="s">
        <v>33</v>
      </c>
      <c r="E36" s="2">
        <v>25</v>
      </c>
      <c r="F36" s="2">
        <v>21</v>
      </c>
      <c r="G36" s="3">
        <f>Attendance_Table[[#This Row],[Present Days]]/Attendance_Table[[#This Row],[Working Days]]</f>
        <v>0.84</v>
      </c>
      <c r="H36" t="str">
        <f>IF(Attendance_Table[[#This Row],[Attendance%]]&gt;=95%,"Excellent",
IF(Attendance_Table[[#This Row],[Attendance%]]&gt;=85%,"Good",
IF(Attendance_Table[[#This Row],[Attendance%]]&gt;=75%,"Average","Poor")))</f>
        <v>Average</v>
      </c>
    </row>
    <row r="37" spans="1:8" x14ac:dyDescent="0.3">
      <c r="A37" s="2" t="s">
        <v>21</v>
      </c>
      <c r="B37" s="2" t="s">
        <v>22</v>
      </c>
      <c r="C37" s="2" t="s">
        <v>12</v>
      </c>
      <c r="D37" s="2" t="s">
        <v>33</v>
      </c>
      <c r="E37" s="2">
        <v>25</v>
      </c>
      <c r="F37" s="2">
        <v>24</v>
      </c>
      <c r="G37" s="3">
        <f>Attendance_Table[[#This Row],[Present Days]]/Attendance_Table[[#This Row],[Working Days]]</f>
        <v>0.96</v>
      </c>
      <c r="H37" t="str">
        <f>IF(Attendance_Table[[#This Row],[Attendance%]]&gt;=95%,"Excellent",
IF(Attendance_Table[[#This Row],[Attendance%]]&gt;=85%,"Good",
IF(Attendance_Table[[#This Row],[Attendance%]]&gt;=75%,"Average","Poor")))</f>
        <v>Excellent</v>
      </c>
    </row>
    <row r="38" spans="1:8" x14ac:dyDescent="0.3">
      <c r="A38" s="2" t="s">
        <v>23</v>
      </c>
      <c r="B38" s="2" t="s">
        <v>24</v>
      </c>
      <c r="C38" s="2" t="s">
        <v>15</v>
      </c>
      <c r="D38" s="2" t="s">
        <v>33</v>
      </c>
      <c r="E38" s="2">
        <v>25</v>
      </c>
      <c r="F38" s="2">
        <v>23</v>
      </c>
      <c r="G38" s="3">
        <f>Attendance_Table[[#This Row],[Present Days]]/Attendance_Table[[#This Row],[Working Days]]</f>
        <v>0.92</v>
      </c>
      <c r="H38" t="str">
        <f>IF(Attendance_Table[[#This Row],[Attendance%]]&gt;=95%,"Excellent",
IF(Attendance_Table[[#This Row],[Attendance%]]&gt;=85%,"Good",
IF(Attendance_Table[[#This Row],[Attendance%]]&gt;=75%,"Average","Poor")))</f>
        <v>Good</v>
      </c>
    </row>
    <row r="39" spans="1:8" x14ac:dyDescent="0.3">
      <c r="A39" s="2" t="s">
        <v>25</v>
      </c>
      <c r="B39" s="2" t="s">
        <v>26</v>
      </c>
      <c r="C39" s="2" t="s">
        <v>18</v>
      </c>
      <c r="D39" s="2" t="s">
        <v>33</v>
      </c>
      <c r="E39" s="2">
        <v>25</v>
      </c>
      <c r="F39" s="2">
        <v>25</v>
      </c>
      <c r="G39" s="3">
        <f>Attendance_Table[[#This Row],[Present Days]]/Attendance_Table[[#This Row],[Working Days]]</f>
        <v>1</v>
      </c>
      <c r="H39" t="str">
        <f>IF(Attendance_Table[[#This Row],[Attendance%]]&gt;=95%,"Excellent",
IF(Attendance_Table[[#This Row],[Attendance%]]&gt;=85%,"Good",
IF(Attendance_Table[[#This Row],[Attendance%]]&gt;=75%,"Average","Poor")))</f>
        <v>Excellent</v>
      </c>
    </row>
    <row r="40" spans="1:8" x14ac:dyDescent="0.3">
      <c r="A40" s="2" t="s">
        <v>27</v>
      </c>
      <c r="B40" s="2" t="s">
        <v>28</v>
      </c>
      <c r="C40" s="2" t="s">
        <v>8</v>
      </c>
      <c r="D40" s="2" t="s">
        <v>33</v>
      </c>
      <c r="E40" s="2">
        <v>25</v>
      </c>
      <c r="F40" s="2">
        <v>20</v>
      </c>
      <c r="G40" s="3">
        <f>Attendance_Table[[#This Row],[Present Days]]/Attendance_Table[[#This Row],[Working Days]]</f>
        <v>0.8</v>
      </c>
      <c r="H40" t="str">
        <f>IF(Attendance_Table[[#This Row],[Attendance%]]&gt;=95%,"Excellent",
IF(Attendance_Table[[#This Row],[Attendance%]]&gt;=85%,"Good",
IF(Attendance_Table[[#This Row],[Attendance%]]&gt;=75%,"Average","Poor")))</f>
        <v>Average</v>
      </c>
    </row>
    <row r="41" spans="1:8" x14ac:dyDescent="0.3">
      <c r="A41" s="2" t="s">
        <v>29</v>
      </c>
      <c r="B41" s="2" t="s">
        <v>30</v>
      </c>
      <c r="C41" s="2" t="s">
        <v>12</v>
      </c>
      <c r="D41" s="2" t="s">
        <v>33</v>
      </c>
      <c r="E41" s="2">
        <v>25</v>
      </c>
      <c r="F41" s="2">
        <v>24</v>
      </c>
      <c r="G41" s="3">
        <f>Attendance_Table[[#This Row],[Present Days]]/Attendance_Table[[#This Row],[Working Days]]</f>
        <v>0.96</v>
      </c>
      <c r="H41" t="str">
        <f>IF(Attendance_Table[[#This Row],[Attendance%]]&gt;=95%,"Excellent",
IF(Attendance_Table[[#This Row],[Attendance%]]&gt;=85%,"Good",
IF(Attendance_Table[[#This Row],[Attendance%]]&gt;=75%,"Average","Poor")))</f>
        <v>Excellent</v>
      </c>
    </row>
    <row r="42" spans="1:8" x14ac:dyDescent="0.3">
      <c r="A42" s="2" t="s">
        <v>6</v>
      </c>
      <c r="B42" s="2" t="s">
        <v>7</v>
      </c>
      <c r="C42" s="2" t="s">
        <v>8</v>
      </c>
      <c r="D42" s="2" t="s">
        <v>34</v>
      </c>
      <c r="E42" s="2">
        <v>26</v>
      </c>
      <c r="F42" s="2">
        <v>25</v>
      </c>
      <c r="G42" s="3">
        <f>Attendance_Table[[#This Row],[Present Days]]/Attendance_Table[[#This Row],[Working Days]]</f>
        <v>0.96153846153846156</v>
      </c>
      <c r="H42" t="str">
        <f>IF(Attendance_Table[[#This Row],[Attendance%]]&gt;=95%,"Excellent",
IF(Attendance_Table[[#This Row],[Attendance%]]&gt;=85%,"Good",
IF(Attendance_Table[[#This Row],[Attendance%]]&gt;=75%,"Average","Poor")))</f>
        <v>Excellent</v>
      </c>
    </row>
    <row r="43" spans="1:8" x14ac:dyDescent="0.3">
      <c r="A43" s="2" t="s">
        <v>10</v>
      </c>
      <c r="B43" s="2" t="s">
        <v>11</v>
      </c>
      <c r="C43" s="2" t="s">
        <v>12</v>
      </c>
      <c r="D43" s="2" t="s">
        <v>34</v>
      </c>
      <c r="E43" s="2">
        <v>26</v>
      </c>
      <c r="F43" s="2">
        <v>24</v>
      </c>
      <c r="G43" s="3">
        <f>Attendance_Table[[#This Row],[Present Days]]/Attendance_Table[[#This Row],[Working Days]]</f>
        <v>0.92307692307692313</v>
      </c>
      <c r="H43" t="str">
        <f>IF(Attendance_Table[[#This Row],[Attendance%]]&gt;=95%,"Excellent",
IF(Attendance_Table[[#This Row],[Attendance%]]&gt;=85%,"Good",
IF(Attendance_Table[[#This Row],[Attendance%]]&gt;=75%,"Average","Poor")))</f>
        <v>Good</v>
      </c>
    </row>
    <row r="44" spans="1:8" x14ac:dyDescent="0.3">
      <c r="A44" s="2" t="s">
        <v>13</v>
      </c>
      <c r="B44" s="2" t="s">
        <v>14</v>
      </c>
      <c r="C44" s="2" t="s">
        <v>15</v>
      </c>
      <c r="D44" s="2" t="s">
        <v>34</v>
      </c>
      <c r="E44" s="2">
        <v>26</v>
      </c>
      <c r="F44" s="2">
        <v>26</v>
      </c>
      <c r="G44" s="3">
        <f>Attendance_Table[[#This Row],[Present Days]]/Attendance_Table[[#This Row],[Working Days]]</f>
        <v>1</v>
      </c>
      <c r="H44" t="str">
        <f>IF(Attendance_Table[[#This Row],[Attendance%]]&gt;=95%,"Excellent",
IF(Attendance_Table[[#This Row],[Attendance%]]&gt;=85%,"Good",
IF(Attendance_Table[[#This Row],[Attendance%]]&gt;=75%,"Average","Poor")))</f>
        <v>Excellent</v>
      </c>
    </row>
    <row r="45" spans="1:8" x14ac:dyDescent="0.3">
      <c r="A45" s="2" t="s">
        <v>16</v>
      </c>
      <c r="B45" s="2" t="s">
        <v>17</v>
      </c>
      <c r="C45" s="2" t="s">
        <v>18</v>
      </c>
      <c r="D45" s="2" t="s">
        <v>34</v>
      </c>
      <c r="E45" s="2">
        <v>26</v>
      </c>
      <c r="F45" s="2">
        <v>23</v>
      </c>
      <c r="G45" s="3">
        <f>Attendance_Table[[#This Row],[Present Days]]/Attendance_Table[[#This Row],[Working Days]]</f>
        <v>0.88461538461538458</v>
      </c>
      <c r="H45" t="str">
        <f>IF(Attendance_Table[[#This Row],[Attendance%]]&gt;=95%,"Excellent",
IF(Attendance_Table[[#This Row],[Attendance%]]&gt;=85%,"Good",
IF(Attendance_Table[[#This Row],[Attendance%]]&gt;=75%,"Average","Poor")))</f>
        <v>Good</v>
      </c>
    </row>
    <row r="46" spans="1:8" x14ac:dyDescent="0.3">
      <c r="A46" s="2" t="s">
        <v>19</v>
      </c>
      <c r="B46" s="2" t="s">
        <v>20</v>
      </c>
      <c r="C46" s="2" t="s">
        <v>8</v>
      </c>
      <c r="D46" s="2" t="s">
        <v>34</v>
      </c>
      <c r="E46" s="2">
        <v>26</v>
      </c>
      <c r="F46" s="2">
        <v>22</v>
      </c>
      <c r="G46" s="3">
        <f>Attendance_Table[[#This Row],[Present Days]]/Attendance_Table[[#This Row],[Working Days]]</f>
        <v>0.84615384615384615</v>
      </c>
      <c r="H46" t="str">
        <f>IF(Attendance_Table[[#This Row],[Attendance%]]&gt;=95%,"Excellent",
IF(Attendance_Table[[#This Row],[Attendance%]]&gt;=85%,"Good",
IF(Attendance_Table[[#This Row],[Attendance%]]&gt;=75%,"Average","Poor")))</f>
        <v>Average</v>
      </c>
    </row>
    <row r="47" spans="1:8" x14ac:dyDescent="0.3">
      <c r="A47" s="2" t="s">
        <v>21</v>
      </c>
      <c r="B47" s="2" t="s">
        <v>22</v>
      </c>
      <c r="C47" s="2" t="s">
        <v>12</v>
      </c>
      <c r="D47" s="2" t="s">
        <v>34</v>
      </c>
      <c r="E47" s="2">
        <v>26</v>
      </c>
      <c r="F47" s="2">
        <v>25</v>
      </c>
      <c r="G47" s="3">
        <f>Attendance_Table[[#This Row],[Present Days]]/Attendance_Table[[#This Row],[Working Days]]</f>
        <v>0.96153846153846156</v>
      </c>
      <c r="H47" t="str">
        <f>IF(Attendance_Table[[#This Row],[Attendance%]]&gt;=95%,"Excellent",
IF(Attendance_Table[[#This Row],[Attendance%]]&gt;=85%,"Good",
IF(Attendance_Table[[#This Row],[Attendance%]]&gt;=75%,"Average","Poor")))</f>
        <v>Excellent</v>
      </c>
    </row>
    <row r="48" spans="1:8" x14ac:dyDescent="0.3">
      <c r="A48" s="2" t="s">
        <v>23</v>
      </c>
      <c r="B48" s="2" t="s">
        <v>24</v>
      </c>
      <c r="C48" s="2" t="s">
        <v>15</v>
      </c>
      <c r="D48" s="2" t="s">
        <v>34</v>
      </c>
      <c r="E48" s="2">
        <v>26</v>
      </c>
      <c r="F48" s="2">
        <v>24</v>
      </c>
      <c r="G48" s="3">
        <f>Attendance_Table[[#This Row],[Present Days]]/Attendance_Table[[#This Row],[Working Days]]</f>
        <v>0.92307692307692313</v>
      </c>
      <c r="H48" t="str">
        <f>IF(Attendance_Table[[#This Row],[Attendance%]]&gt;=95%,"Excellent",
IF(Attendance_Table[[#This Row],[Attendance%]]&gt;=85%,"Good",
IF(Attendance_Table[[#This Row],[Attendance%]]&gt;=75%,"Average","Poor")))</f>
        <v>Good</v>
      </c>
    </row>
    <row r="49" spans="1:8" x14ac:dyDescent="0.3">
      <c r="A49" s="2" t="s">
        <v>25</v>
      </c>
      <c r="B49" s="2" t="s">
        <v>26</v>
      </c>
      <c r="C49" s="2" t="s">
        <v>18</v>
      </c>
      <c r="D49" s="2" t="s">
        <v>34</v>
      </c>
      <c r="E49" s="2">
        <v>26</v>
      </c>
      <c r="F49" s="2">
        <v>26</v>
      </c>
      <c r="G49" s="3">
        <f>Attendance_Table[[#This Row],[Present Days]]/Attendance_Table[[#This Row],[Working Days]]</f>
        <v>1</v>
      </c>
      <c r="H49" t="str">
        <f>IF(Attendance_Table[[#This Row],[Attendance%]]&gt;=95%,"Excellent",
IF(Attendance_Table[[#This Row],[Attendance%]]&gt;=85%,"Good",
IF(Attendance_Table[[#This Row],[Attendance%]]&gt;=75%,"Average","Poor")))</f>
        <v>Excellent</v>
      </c>
    </row>
    <row r="50" spans="1:8" x14ac:dyDescent="0.3">
      <c r="A50" s="2" t="s">
        <v>27</v>
      </c>
      <c r="B50" s="2" t="s">
        <v>28</v>
      </c>
      <c r="C50" s="2" t="s">
        <v>8</v>
      </c>
      <c r="D50" s="2" t="s">
        <v>34</v>
      </c>
      <c r="E50" s="2">
        <v>26</v>
      </c>
      <c r="F50" s="2">
        <v>21</v>
      </c>
      <c r="G50" s="3">
        <f>Attendance_Table[[#This Row],[Present Days]]/Attendance_Table[[#This Row],[Working Days]]</f>
        <v>0.80769230769230771</v>
      </c>
      <c r="H50" t="str">
        <f>IF(Attendance_Table[[#This Row],[Attendance%]]&gt;=95%,"Excellent",
IF(Attendance_Table[[#This Row],[Attendance%]]&gt;=85%,"Good",
IF(Attendance_Table[[#This Row],[Attendance%]]&gt;=75%,"Average","Poor")))</f>
        <v>Average</v>
      </c>
    </row>
    <row r="51" spans="1:8" x14ac:dyDescent="0.3">
      <c r="A51" s="2" t="s">
        <v>29</v>
      </c>
      <c r="B51" s="2" t="s">
        <v>30</v>
      </c>
      <c r="C51" s="2" t="s">
        <v>12</v>
      </c>
      <c r="D51" s="2" t="s">
        <v>34</v>
      </c>
      <c r="E51" s="2">
        <v>26</v>
      </c>
      <c r="F51" s="2">
        <v>25</v>
      </c>
      <c r="G51" s="3">
        <f>Attendance_Table[[#This Row],[Present Days]]/Attendance_Table[[#This Row],[Working Days]]</f>
        <v>0.96153846153846156</v>
      </c>
      <c r="H51" t="str">
        <f>IF(Attendance_Table[[#This Row],[Attendance%]]&gt;=95%,"Excellent",
IF(Attendance_Table[[#This Row],[Attendance%]]&gt;=85%,"Good",
IF(Attendance_Table[[#This Row],[Attendance%]]&gt;=75%,"Average","Poor")))</f>
        <v>Excellent</v>
      </c>
    </row>
    <row r="52" spans="1:8" x14ac:dyDescent="0.3">
      <c r="A52" s="2" t="s">
        <v>6</v>
      </c>
      <c r="B52" s="2" t="s">
        <v>7</v>
      </c>
      <c r="C52" s="2" t="s">
        <v>8</v>
      </c>
      <c r="D52" s="2" t="s">
        <v>9</v>
      </c>
      <c r="E52" s="2">
        <v>26</v>
      </c>
      <c r="F52" s="2">
        <v>25</v>
      </c>
      <c r="G52" s="3">
        <f>Attendance_Table[[#This Row],[Present Days]]/Attendance_Table[[#This Row],[Working Days]]</f>
        <v>0.96153846153846156</v>
      </c>
      <c r="H52" t="str">
        <f>IF(Attendance_Table[[#This Row],[Attendance%]]&gt;=95%,"Excellent",
IF(Attendance_Table[[#This Row],[Attendance%]]&gt;=85%,"Good",
IF(Attendance_Table[[#This Row],[Attendance%]]&gt;=75%,"Average","Poor")))</f>
        <v>Excellent</v>
      </c>
    </row>
    <row r="53" spans="1:8" x14ac:dyDescent="0.3">
      <c r="A53" s="2" t="s">
        <v>10</v>
      </c>
      <c r="B53" s="2" t="s">
        <v>11</v>
      </c>
      <c r="C53" s="2" t="s">
        <v>12</v>
      </c>
      <c r="D53" s="2" t="s">
        <v>9</v>
      </c>
      <c r="E53" s="2">
        <v>26</v>
      </c>
      <c r="F53" s="2">
        <v>24</v>
      </c>
      <c r="G53" s="3">
        <f>Attendance_Table[[#This Row],[Present Days]]/Attendance_Table[[#This Row],[Working Days]]</f>
        <v>0.92307692307692313</v>
      </c>
      <c r="H53" t="str">
        <f>IF(Attendance_Table[[#This Row],[Attendance%]]&gt;=95%,"Excellent",
IF(Attendance_Table[[#This Row],[Attendance%]]&gt;=85%,"Good",
IF(Attendance_Table[[#This Row],[Attendance%]]&gt;=75%,"Average","Poor")))</f>
        <v>Good</v>
      </c>
    </row>
    <row r="54" spans="1:8" x14ac:dyDescent="0.3">
      <c r="A54" s="2" t="s">
        <v>13</v>
      </c>
      <c r="B54" s="2" t="s">
        <v>14</v>
      </c>
      <c r="C54" s="2" t="s">
        <v>15</v>
      </c>
      <c r="D54" s="2" t="s">
        <v>9</v>
      </c>
      <c r="E54" s="2">
        <v>26</v>
      </c>
      <c r="F54" s="2">
        <v>26</v>
      </c>
      <c r="G54" s="3">
        <f>Attendance_Table[[#This Row],[Present Days]]/Attendance_Table[[#This Row],[Working Days]]</f>
        <v>1</v>
      </c>
      <c r="H54" t="str">
        <f>IF(Attendance_Table[[#This Row],[Attendance%]]&gt;=95%,"Excellent",
IF(Attendance_Table[[#This Row],[Attendance%]]&gt;=85%,"Good",
IF(Attendance_Table[[#This Row],[Attendance%]]&gt;=75%,"Average","Poor")))</f>
        <v>Excellent</v>
      </c>
    </row>
    <row r="55" spans="1:8" x14ac:dyDescent="0.3">
      <c r="A55" s="2" t="s">
        <v>16</v>
      </c>
      <c r="B55" s="2" t="s">
        <v>17</v>
      </c>
      <c r="C55" s="2" t="s">
        <v>18</v>
      </c>
      <c r="D55" s="2" t="s">
        <v>9</v>
      </c>
      <c r="E55" s="2">
        <v>26</v>
      </c>
      <c r="F55" s="2">
        <v>23</v>
      </c>
      <c r="G55" s="3">
        <f>Attendance_Table[[#This Row],[Present Days]]/Attendance_Table[[#This Row],[Working Days]]</f>
        <v>0.88461538461538458</v>
      </c>
      <c r="H55" t="str">
        <f>IF(Attendance_Table[[#This Row],[Attendance%]]&gt;=95%,"Excellent",
IF(Attendance_Table[[#This Row],[Attendance%]]&gt;=85%,"Good",
IF(Attendance_Table[[#This Row],[Attendance%]]&gt;=75%,"Average","Poor")))</f>
        <v>Good</v>
      </c>
    </row>
    <row r="56" spans="1:8" x14ac:dyDescent="0.3">
      <c r="A56" s="2" t="s">
        <v>19</v>
      </c>
      <c r="B56" s="2" t="s">
        <v>20</v>
      </c>
      <c r="C56" s="2" t="s">
        <v>8</v>
      </c>
      <c r="D56" s="2" t="s">
        <v>9</v>
      </c>
      <c r="E56" s="2">
        <v>26</v>
      </c>
      <c r="F56" s="2">
        <v>22</v>
      </c>
      <c r="G56" s="3">
        <f>Attendance_Table[[#This Row],[Present Days]]/Attendance_Table[[#This Row],[Working Days]]</f>
        <v>0.84615384615384615</v>
      </c>
      <c r="H56" t="str">
        <f>IF(Attendance_Table[[#This Row],[Attendance%]]&gt;=95%,"Excellent",
IF(Attendance_Table[[#This Row],[Attendance%]]&gt;=85%,"Good",
IF(Attendance_Table[[#This Row],[Attendance%]]&gt;=75%,"Average","Poor")))</f>
        <v>Average</v>
      </c>
    </row>
    <row r="57" spans="1:8" x14ac:dyDescent="0.3">
      <c r="A57" s="2" t="s">
        <v>21</v>
      </c>
      <c r="B57" s="2" t="s">
        <v>22</v>
      </c>
      <c r="C57" s="2" t="s">
        <v>12</v>
      </c>
      <c r="D57" s="2" t="s">
        <v>9</v>
      </c>
      <c r="E57" s="2">
        <v>26</v>
      </c>
      <c r="F57" s="2">
        <v>25</v>
      </c>
      <c r="G57" s="3">
        <f>Attendance_Table[[#This Row],[Present Days]]/Attendance_Table[[#This Row],[Working Days]]</f>
        <v>0.96153846153846156</v>
      </c>
      <c r="H57" t="str">
        <f>IF(Attendance_Table[[#This Row],[Attendance%]]&gt;=95%,"Excellent",
IF(Attendance_Table[[#This Row],[Attendance%]]&gt;=85%,"Good",
IF(Attendance_Table[[#This Row],[Attendance%]]&gt;=75%,"Average","Poor")))</f>
        <v>Excellent</v>
      </c>
    </row>
    <row r="58" spans="1:8" x14ac:dyDescent="0.3">
      <c r="A58" s="2" t="s">
        <v>23</v>
      </c>
      <c r="B58" s="2" t="s">
        <v>24</v>
      </c>
      <c r="C58" s="2" t="s">
        <v>15</v>
      </c>
      <c r="D58" s="2" t="s">
        <v>9</v>
      </c>
      <c r="E58" s="2">
        <v>26</v>
      </c>
      <c r="F58" s="2">
        <v>24</v>
      </c>
      <c r="G58" s="3">
        <f>Attendance_Table[[#This Row],[Present Days]]/Attendance_Table[[#This Row],[Working Days]]</f>
        <v>0.92307692307692313</v>
      </c>
      <c r="H58" t="str">
        <f>IF(Attendance_Table[[#This Row],[Attendance%]]&gt;=95%,"Excellent",
IF(Attendance_Table[[#This Row],[Attendance%]]&gt;=85%,"Good",
IF(Attendance_Table[[#This Row],[Attendance%]]&gt;=75%,"Average","Poor")))</f>
        <v>Good</v>
      </c>
    </row>
    <row r="59" spans="1:8" x14ac:dyDescent="0.3">
      <c r="A59" s="2" t="s">
        <v>25</v>
      </c>
      <c r="B59" s="2" t="s">
        <v>26</v>
      </c>
      <c r="C59" s="2" t="s">
        <v>18</v>
      </c>
      <c r="D59" s="2" t="s">
        <v>9</v>
      </c>
      <c r="E59" s="2">
        <v>26</v>
      </c>
      <c r="F59" s="2">
        <v>26</v>
      </c>
      <c r="G59" s="3">
        <f>Attendance_Table[[#This Row],[Present Days]]/Attendance_Table[[#This Row],[Working Days]]</f>
        <v>1</v>
      </c>
      <c r="H59" t="str">
        <f>IF(Attendance_Table[[#This Row],[Attendance%]]&gt;=95%,"Excellent",
IF(Attendance_Table[[#This Row],[Attendance%]]&gt;=85%,"Good",
IF(Attendance_Table[[#This Row],[Attendance%]]&gt;=75%,"Average","Poor")))</f>
        <v>Excellent</v>
      </c>
    </row>
    <row r="60" spans="1:8" x14ac:dyDescent="0.3">
      <c r="A60" s="2" t="s">
        <v>27</v>
      </c>
      <c r="B60" s="2" t="s">
        <v>28</v>
      </c>
      <c r="C60" s="2" t="s">
        <v>8</v>
      </c>
      <c r="D60" s="2" t="s">
        <v>9</v>
      </c>
      <c r="E60" s="2">
        <v>26</v>
      </c>
      <c r="F60" s="2">
        <v>21</v>
      </c>
      <c r="G60" s="3">
        <f>Attendance_Table[[#This Row],[Present Days]]/Attendance_Table[[#This Row],[Working Days]]</f>
        <v>0.80769230769230771</v>
      </c>
      <c r="H60" t="str">
        <f>IF(Attendance_Table[[#This Row],[Attendance%]]&gt;=95%,"Excellent",
IF(Attendance_Table[[#This Row],[Attendance%]]&gt;=85%,"Good",
IF(Attendance_Table[[#This Row],[Attendance%]]&gt;=75%,"Average","Poor")))</f>
        <v>Average</v>
      </c>
    </row>
    <row r="61" spans="1:8" x14ac:dyDescent="0.3">
      <c r="A61" s="2" t="s">
        <v>29</v>
      </c>
      <c r="B61" s="2" t="s">
        <v>30</v>
      </c>
      <c r="C61" s="2" t="s">
        <v>12</v>
      </c>
      <c r="D61" s="2" t="s">
        <v>9</v>
      </c>
      <c r="E61" s="2">
        <v>26</v>
      </c>
      <c r="F61" s="2">
        <v>25</v>
      </c>
      <c r="G61" s="3">
        <f>Attendance_Table[[#This Row],[Present Days]]/Attendance_Table[[#This Row],[Working Days]]</f>
        <v>0.96153846153846156</v>
      </c>
      <c r="H61" t="str">
        <f>IF(Attendance_Table[[#This Row],[Attendance%]]&gt;=95%,"Excellent",
IF(Attendance_Table[[#This Row],[Attendance%]]&gt;=85%,"Good",
IF(Attendance_Table[[#This Row],[Attendance%]]&gt;=75%,"Average","Poor")))</f>
        <v>Excellent</v>
      </c>
    </row>
    <row r="62" spans="1:8" x14ac:dyDescent="0.3">
      <c r="A62" s="2" t="s">
        <v>6</v>
      </c>
      <c r="B62" s="2" t="s">
        <v>7</v>
      </c>
      <c r="C62" s="2" t="s">
        <v>8</v>
      </c>
      <c r="D62" s="2" t="s">
        <v>31</v>
      </c>
      <c r="E62" s="2">
        <v>24</v>
      </c>
      <c r="F62" s="2">
        <v>23</v>
      </c>
      <c r="G62" s="3">
        <f>Attendance_Table[[#This Row],[Present Days]]/Attendance_Table[[#This Row],[Working Days]]</f>
        <v>0.95833333333333337</v>
      </c>
      <c r="H62" t="str">
        <f>IF(Attendance_Table[[#This Row],[Attendance%]]&gt;=95%,"Excellent",
IF(Attendance_Table[[#This Row],[Attendance%]]&gt;=85%,"Good",
IF(Attendance_Table[[#This Row],[Attendance%]]&gt;=75%,"Average","Poor")))</f>
        <v>Excellent</v>
      </c>
    </row>
    <row r="63" spans="1:8" x14ac:dyDescent="0.3">
      <c r="A63" s="2" t="s">
        <v>10</v>
      </c>
      <c r="B63" s="2" t="s">
        <v>11</v>
      </c>
      <c r="C63" s="2" t="s">
        <v>12</v>
      </c>
      <c r="D63" s="2" t="s">
        <v>31</v>
      </c>
      <c r="E63" s="2">
        <v>24</v>
      </c>
      <c r="F63" s="2">
        <v>22</v>
      </c>
      <c r="G63" s="3">
        <f>Attendance_Table[[#This Row],[Present Days]]/Attendance_Table[[#This Row],[Working Days]]</f>
        <v>0.91666666666666663</v>
      </c>
      <c r="H63" t="str">
        <f>IF(Attendance_Table[[#This Row],[Attendance%]]&gt;=95%,"Excellent",
IF(Attendance_Table[[#This Row],[Attendance%]]&gt;=85%,"Good",
IF(Attendance_Table[[#This Row],[Attendance%]]&gt;=75%,"Average","Poor")))</f>
        <v>Good</v>
      </c>
    </row>
    <row r="64" spans="1:8" x14ac:dyDescent="0.3">
      <c r="A64" s="2" t="s">
        <v>13</v>
      </c>
      <c r="B64" s="2" t="s">
        <v>14</v>
      </c>
      <c r="C64" s="2" t="s">
        <v>15</v>
      </c>
      <c r="D64" s="2" t="s">
        <v>31</v>
      </c>
      <c r="E64" s="2">
        <v>24</v>
      </c>
      <c r="F64" s="2">
        <v>24</v>
      </c>
      <c r="G64" s="3">
        <f>Attendance_Table[[#This Row],[Present Days]]/Attendance_Table[[#This Row],[Working Days]]</f>
        <v>1</v>
      </c>
      <c r="H64" t="str">
        <f>IF(Attendance_Table[[#This Row],[Attendance%]]&gt;=95%,"Excellent",
IF(Attendance_Table[[#This Row],[Attendance%]]&gt;=85%,"Good",
IF(Attendance_Table[[#This Row],[Attendance%]]&gt;=75%,"Average","Poor")))</f>
        <v>Excellent</v>
      </c>
    </row>
    <row r="65" spans="1:8" x14ac:dyDescent="0.3">
      <c r="A65" s="2" t="s">
        <v>16</v>
      </c>
      <c r="B65" s="2" t="s">
        <v>17</v>
      </c>
      <c r="C65" s="2" t="s">
        <v>18</v>
      </c>
      <c r="D65" s="2" t="s">
        <v>31</v>
      </c>
      <c r="E65" s="2">
        <v>24</v>
      </c>
      <c r="F65" s="2">
        <v>21</v>
      </c>
      <c r="G65" s="3">
        <f>Attendance_Table[[#This Row],[Present Days]]/Attendance_Table[[#This Row],[Working Days]]</f>
        <v>0.875</v>
      </c>
      <c r="H65" t="str">
        <f>IF(Attendance_Table[[#This Row],[Attendance%]]&gt;=95%,"Excellent",
IF(Attendance_Table[[#This Row],[Attendance%]]&gt;=85%,"Good",
IF(Attendance_Table[[#This Row],[Attendance%]]&gt;=75%,"Average","Poor")))</f>
        <v>Good</v>
      </c>
    </row>
    <row r="66" spans="1:8" x14ac:dyDescent="0.3">
      <c r="A66" s="2" t="s">
        <v>19</v>
      </c>
      <c r="B66" s="2" t="s">
        <v>20</v>
      </c>
      <c r="C66" s="2" t="s">
        <v>8</v>
      </c>
      <c r="D66" s="2" t="s">
        <v>31</v>
      </c>
      <c r="E66" s="2">
        <v>24</v>
      </c>
      <c r="F66" s="2">
        <v>20</v>
      </c>
      <c r="G66" s="3">
        <f>Attendance_Table[[#This Row],[Present Days]]/Attendance_Table[[#This Row],[Working Days]]</f>
        <v>0.83333333333333337</v>
      </c>
      <c r="H66" t="str">
        <f>IF(Attendance_Table[[#This Row],[Attendance%]]&gt;=95%,"Excellent",
IF(Attendance_Table[[#This Row],[Attendance%]]&gt;=85%,"Good",
IF(Attendance_Table[[#This Row],[Attendance%]]&gt;=75%,"Average","Poor")))</f>
        <v>Average</v>
      </c>
    </row>
    <row r="67" spans="1:8" x14ac:dyDescent="0.3">
      <c r="A67" s="2" t="s">
        <v>21</v>
      </c>
      <c r="B67" s="2" t="s">
        <v>22</v>
      </c>
      <c r="C67" s="2" t="s">
        <v>12</v>
      </c>
      <c r="D67" s="2" t="s">
        <v>31</v>
      </c>
      <c r="E67" s="2">
        <v>24</v>
      </c>
      <c r="F67" s="2">
        <v>24</v>
      </c>
      <c r="G67" s="3">
        <f>Attendance_Table[[#This Row],[Present Days]]/Attendance_Table[[#This Row],[Working Days]]</f>
        <v>1</v>
      </c>
      <c r="H67" t="str">
        <f>IF(Attendance_Table[[#This Row],[Attendance%]]&gt;=95%,"Excellent",
IF(Attendance_Table[[#This Row],[Attendance%]]&gt;=85%,"Good",
IF(Attendance_Table[[#This Row],[Attendance%]]&gt;=75%,"Average","Poor")))</f>
        <v>Excellent</v>
      </c>
    </row>
    <row r="68" spans="1:8" x14ac:dyDescent="0.3">
      <c r="A68" s="2" t="s">
        <v>23</v>
      </c>
      <c r="B68" s="2" t="s">
        <v>24</v>
      </c>
      <c r="C68" s="2" t="s">
        <v>15</v>
      </c>
      <c r="D68" s="2" t="s">
        <v>31</v>
      </c>
      <c r="E68" s="2">
        <v>24</v>
      </c>
      <c r="F68" s="2">
        <v>23</v>
      </c>
      <c r="G68" s="3">
        <f>Attendance_Table[[#This Row],[Present Days]]/Attendance_Table[[#This Row],[Working Days]]</f>
        <v>0.95833333333333337</v>
      </c>
      <c r="H68" t="str">
        <f>IF(Attendance_Table[[#This Row],[Attendance%]]&gt;=95%,"Excellent",
IF(Attendance_Table[[#This Row],[Attendance%]]&gt;=85%,"Good",
IF(Attendance_Table[[#This Row],[Attendance%]]&gt;=75%,"Average","Poor")))</f>
        <v>Excellent</v>
      </c>
    </row>
    <row r="69" spans="1:8" x14ac:dyDescent="0.3">
      <c r="A69" s="2" t="s">
        <v>25</v>
      </c>
      <c r="B69" s="2" t="s">
        <v>26</v>
      </c>
      <c r="C69" s="2" t="s">
        <v>18</v>
      </c>
      <c r="D69" s="2" t="s">
        <v>31</v>
      </c>
      <c r="E69" s="2">
        <v>24</v>
      </c>
      <c r="F69" s="2">
        <v>24</v>
      </c>
      <c r="G69" s="3">
        <f>Attendance_Table[[#This Row],[Present Days]]/Attendance_Table[[#This Row],[Working Days]]</f>
        <v>1</v>
      </c>
      <c r="H69" t="str">
        <f>IF(Attendance_Table[[#This Row],[Attendance%]]&gt;=95%,"Excellent",
IF(Attendance_Table[[#This Row],[Attendance%]]&gt;=85%,"Good",
IF(Attendance_Table[[#This Row],[Attendance%]]&gt;=75%,"Average","Poor")))</f>
        <v>Excellent</v>
      </c>
    </row>
    <row r="70" spans="1:8" x14ac:dyDescent="0.3">
      <c r="A70" s="2" t="s">
        <v>27</v>
      </c>
      <c r="B70" s="2" t="s">
        <v>28</v>
      </c>
      <c r="C70" s="2" t="s">
        <v>8</v>
      </c>
      <c r="D70" s="2" t="s">
        <v>31</v>
      </c>
      <c r="E70" s="2">
        <v>24</v>
      </c>
      <c r="F70" s="2">
        <v>19</v>
      </c>
      <c r="G70" s="3">
        <f>Attendance_Table[[#This Row],[Present Days]]/Attendance_Table[[#This Row],[Working Days]]</f>
        <v>0.79166666666666663</v>
      </c>
      <c r="H70" t="str">
        <f>IF(Attendance_Table[[#This Row],[Attendance%]]&gt;=95%,"Excellent",
IF(Attendance_Table[[#This Row],[Attendance%]]&gt;=85%,"Good",
IF(Attendance_Table[[#This Row],[Attendance%]]&gt;=75%,"Average","Poor")))</f>
        <v>Average</v>
      </c>
    </row>
    <row r="71" spans="1:8" x14ac:dyDescent="0.3">
      <c r="A71" s="2" t="s">
        <v>29</v>
      </c>
      <c r="B71" s="2" t="s">
        <v>30</v>
      </c>
      <c r="C71" s="2" t="s">
        <v>12</v>
      </c>
      <c r="D71" s="2" t="s">
        <v>31</v>
      </c>
      <c r="E71" s="2">
        <v>24</v>
      </c>
      <c r="F71" s="2">
        <v>23</v>
      </c>
      <c r="G71" s="3">
        <f>Attendance_Table[[#This Row],[Present Days]]/Attendance_Table[[#This Row],[Working Days]]</f>
        <v>0.95833333333333337</v>
      </c>
      <c r="H71" t="str">
        <f>IF(Attendance_Table[[#This Row],[Attendance%]]&gt;=95%,"Excellent",
IF(Attendance_Table[[#This Row],[Attendance%]]&gt;=85%,"Good",
IF(Attendance_Table[[#This Row],[Attendance%]]&gt;=75%,"Average","Poor")))</f>
        <v>Excellent</v>
      </c>
    </row>
    <row r="72" spans="1:8" x14ac:dyDescent="0.3">
      <c r="A72" s="2" t="s">
        <v>6</v>
      </c>
      <c r="B72" s="2" t="s">
        <v>7</v>
      </c>
      <c r="C72" s="2" t="s">
        <v>8</v>
      </c>
      <c r="D72" s="2" t="s">
        <v>32</v>
      </c>
      <c r="E72" s="2">
        <v>26</v>
      </c>
      <c r="F72" s="2">
        <v>25</v>
      </c>
      <c r="G72" s="3">
        <f>Attendance_Table[[#This Row],[Present Days]]/Attendance_Table[[#This Row],[Working Days]]</f>
        <v>0.96153846153846156</v>
      </c>
      <c r="H72" t="str">
        <f>IF(Attendance_Table[[#This Row],[Attendance%]]&gt;=95%,"Excellent",
IF(Attendance_Table[[#This Row],[Attendance%]]&gt;=85%,"Good",
IF(Attendance_Table[[#This Row],[Attendance%]]&gt;=75%,"Average","Poor")))</f>
        <v>Excellent</v>
      </c>
    </row>
    <row r="73" spans="1:8" x14ac:dyDescent="0.3">
      <c r="A73" s="2" t="s">
        <v>10</v>
      </c>
      <c r="B73" s="2" t="s">
        <v>11</v>
      </c>
      <c r="C73" s="2" t="s">
        <v>12</v>
      </c>
      <c r="D73" s="2" t="s">
        <v>32</v>
      </c>
      <c r="E73" s="2">
        <v>26</v>
      </c>
      <c r="F73" s="2">
        <v>24</v>
      </c>
      <c r="G73" s="3">
        <f>Attendance_Table[[#This Row],[Present Days]]/Attendance_Table[[#This Row],[Working Days]]</f>
        <v>0.92307692307692313</v>
      </c>
      <c r="H73" t="str">
        <f>IF(Attendance_Table[[#This Row],[Attendance%]]&gt;=95%,"Excellent",
IF(Attendance_Table[[#This Row],[Attendance%]]&gt;=85%,"Good",
IF(Attendance_Table[[#This Row],[Attendance%]]&gt;=75%,"Average","Poor")))</f>
        <v>Good</v>
      </c>
    </row>
    <row r="74" spans="1:8" x14ac:dyDescent="0.3">
      <c r="A74" s="2" t="s">
        <v>13</v>
      </c>
      <c r="B74" s="2" t="s">
        <v>14</v>
      </c>
      <c r="C74" s="2" t="s">
        <v>15</v>
      </c>
      <c r="D74" s="2" t="s">
        <v>32</v>
      </c>
      <c r="E74" s="2">
        <v>26</v>
      </c>
      <c r="F74" s="2">
        <v>26</v>
      </c>
      <c r="G74" s="3">
        <f>Attendance_Table[[#This Row],[Present Days]]/Attendance_Table[[#This Row],[Working Days]]</f>
        <v>1</v>
      </c>
      <c r="H74" t="str">
        <f>IF(Attendance_Table[[#This Row],[Attendance%]]&gt;=95%,"Excellent",
IF(Attendance_Table[[#This Row],[Attendance%]]&gt;=85%,"Good",
IF(Attendance_Table[[#This Row],[Attendance%]]&gt;=75%,"Average","Poor")))</f>
        <v>Excellent</v>
      </c>
    </row>
    <row r="75" spans="1:8" x14ac:dyDescent="0.3">
      <c r="A75" s="2" t="s">
        <v>16</v>
      </c>
      <c r="B75" s="2" t="s">
        <v>17</v>
      </c>
      <c r="C75" s="2" t="s">
        <v>18</v>
      </c>
      <c r="D75" s="2" t="s">
        <v>32</v>
      </c>
      <c r="E75" s="2">
        <v>26</v>
      </c>
      <c r="F75" s="2">
        <v>22</v>
      </c>
      <c r="G75" s="3">
        <f>Attendance_Table[[#This Row],[Present Days]]/Attendance_Table[[#This Row],[Working Days]]</f>
        <v>0.84615384615384615</v>
      </c>
      <c r="H75" t="str">
        <f>IF(Attendance_Table[[#This Row],[Attendance%]]&gt;=95%,"Excellent",
IF(Attendance_Table[[#This Row],[Attendance%]]&gt;=85%,"Good",
IF(Attendance_Table[[#This Row],[Attendance%]]&gt;=75%,"Average","Poor")))</f>
        <v>Average</v>
      </c>
    </row>
    <row r="76" spans="1:8" x14ac:dyDescent="0.3">
      <c r="A76" s="2" t="s">
        <v>19</v>
      </c>
      <c r="B76" s="2" t="s">
        <v>20</v>
      </c>
      <c r="C76" s="2" t="s">
        <v>8</v>
      </c>
      <c r="D76" s="2" t="s">
        <v>32</v>
      </c>
      <c r="E76" s="2">
        <v>26</v>
      </c>
      <c r="F76" s="2">
        <v>23</v>
      </c>
      <c r="G76" s="3">
        <f>Attendance_Table[[#This Row],[Present Days]]/Attendance_Table[[#This Row],[Working Days]]</f>
        <v>0.88461538461538458</v>
      </c>
      <c r="H76" t="str">
        <f>IF(Attendance_Table[[#This Row],[Attendance%]]&gt;=95%,"Excellent",
IF(Attendance_Table[[#This Row],[Attendance%]]&gt;=85%,"Good",
IF(Attendance_Table[[#This Row],[Attendance%]]&gt;=75%,"Average","Poor")))</f>
        <v>Good</v>
      </c>
    </row>
    <row r="77" spans="1:8" x14ac:dyDescent="0.3">
      <c r="A77" s="2" t="s">
        <v>21</v>
      </c>
      <c r="B77" s="2" t="s">
        <v>22</v>
      </c>
      <c r="C77" s="2" t="s">
        <v>12</v>
      </c>
      <c r="D77" s="2" t="s">
        <v>32</v>
      </c>
      <c r="E77" s="2">
        <v>26</v>
      </c>
      <c r="F77" s="2">
        <v>25</v>
      </c>
      <c r="G77" s="3">
        <f>Attendance_Table[[#This Row],[Present Days]]/Attendance_Table[[#This Row],[Working Days]]</f>
        <v>0.96153846153846156</v>
      </c>
      <c r="H77" t="str">
        <f>IF(Attendance_Table[[#This Row],[Attendance%]]&gt;=95%,"Excellent",
IF(Attendance_Table[[#This Row],[Attendance%]]&gt;=85%,"Good",
IF(Attendance_Table[[#This Row],[Attendance%]]&gt;=75%,"Average","Poor")))</f>
        <v>Excellent</v>
      </c>
    </row>
    <row r="78" spans="1:8" x14ac:dyDescent="0.3">
      <c r="A78" s="2" t="s">
        <v>23</v>
      </c>
      <c r="B78" s="2" t="s">
        <v>24</v>
      </c>
      <c r="C78" s="2" t="s">
        <v>15</v>
      </c>
      <c r="D78" s="2" t="s">
        <v>32</v>
      </c>
      <c r="E78" s="2">
        <v>26</v>
      </c>
      <c r="F78" s="2">
        <v>24</v>
      </c>
      <c r="G78" s="3">
        <f>Attendance_Table[[#This Row],[Present Days]]/Attendance_Table[[#This Row],[Working Days]]</f>
        <v>0.92307692307692313</v>
      </c>
      <c r="H78" t="str">
        <f>IF(Attendance_Table[[#This Row],[Attendance%]]&gt;=95%,"Excellent",
IF(Attendance_Table[[#This Row],[Attendance%]]&gt;=85%,"Good",
IF(Attendance_Table[[#This Row],[Attendance%]]&gt;=75%,"Average","Poor")))</f>
        <v>Good</v>
      </c>
    </row>
    <row r="79" spans="1:8" x14ac:dyDescent="0.3">
      <c r="A79" s="2" t="s">
        <v>25</v>
      </c>
      <c r="B79" s="2" t="s">
        <v>26</v>
      </c>
      <c r="C79" s="2" t="s">
        <v>18</v>
      </c>
      <c r="D79" s="2" t="s">
        <v>32</v>
      </c>
      <c r="E79" s="2">
        <v>26</v>
      </c>
      <c r="F79" s="2">
        <v>26</v>
      </c>
      <c r="G79" s="3">
        <f>Attendance_Table[[#This Row],[Present Days]]/Attendance_Table[[#This Row],[Working Days]]</f>
        <v>1</v>
      </c>
      <c r="H79" t="str">
        <f>IF(Attendance_Table[[#This Row],[Attendance%]]&gt;=95%,"Excellent",
IF(Attendance_Table[[#This Row],[Attendance%]]&gt;=85%,"Good",
IF(Attendance_Table[[#This Row],[Attendance%]]&gt;=75%,"Average","Poor")))</f>
        <v>Excellent</v>
      </c>
    </row>
    <row r="80" spans="1:8" x14ac:dyDescent="0.3">
      <c r="A80" s="2" t="s">
        <v>27</v>
      </c>
      <c r="B80" s="2" t="s">
        <v>28</v>
      </c>
      <c r="C80" s="2" t="s">
        <v>8</v>
      </c>
      <c r="D80" s="2" t="s">
        <v>32</v>
      </c>
      <c r="E80" s="2">
        <v>26</v>
      </c>
      <c r="F80" s="2">
        <v>21</v>
      </c>
      <c r="G80" s="3">
        <f>Attendance_Table[[#This Row],[Present Days]]/Attendance_Table[[#This Row],[Working Days]]</f>
        <v>0.80769230769230771</v>
      </c>
      <c r="H80" t="str">
        <f>IF(Attendance_Table[[#This Row],[Attendance%]]&gt;=95%,"Excellent",
IF(Attendance_Table[[#This Row],[Attendance%]]&gt;=85%,"Good",
IF(Attendance_Table[[#This Row],[Attendance%]]&gt;=75%,"Average","Poor")))</f>
        <v>Average</v>
      </c>
    </row>
    <row r="81" spans="1:8" x14ac:dyDescent="0.3">
      <c r="A81" s="2" t="s">
        <v>29</v>
      </c>
      <c r="B81" s="2" t="s">
        <v>30</v>
      </c>
      <c r="C81" s="2" t="s">
        <v>12</v>
      </c>
      <c r="D81" s="2" t="s">
        <v>32</v>
      </c>
      <c r="E81" s="2">
        <v>26</v>
      </c>
      <c r="F81" s="2">
        <v>25</v>
      </c>
      <c r="G81" s="3">
        <f>Attendance_Table[[#This Row],[Present Days]]/Attendance_Table[[#This Row],[Working Days]]</f>
        <v>0.96153846153846156</v>
      </c>
      <c r="H81" t="str">
        <f>IF(Attendance_Table[[#This Row],[Attendance%]]&gt;=95%,"Excellent",
IF(Attendance_Table[[#This Row],[Attendance%]]&gt;=85%,"Good",
IF(Attendance_Table[[#This Row],[Attendance%]]&gt;=75%,"Average","Poor")))</f>
        <v>Excellent</v>
      </c>
    </row>
    <row r="82" spans="1:8" x14ac:dyDescent="0.3">
      <c r="A82" s="2" t="s">
        <v>6</v>
      </c>
      <c r="B82" s="2" t="s">
        <v>7</v>
      </c>
      <c r="C82" s="2" t="s">
        <v>8</v>
      </c>
      <c r="D82" s="2" t="s">
        <v>33</v>
      </c>
      <c r="E82" s="2">
        <v>25</v>
      </c>
      <c r="F82" s="2">
        <v>24</v>
      </c>
      <c r="G82" s="3">
        <f>Attendance_Table[[#This Row],[Present Days]]/Attendance_Table[[#This Row],[Working Days]]</f>
        <v>0.96</v>
      </c>
      <c r="H82" t="str">
        <f>IF(Attendance_Table[[#This Row],[Attendance%]]&gt;=95%,"Excellent",
IF(Attendance_Table[[#This Row],[Attendance%]]&gt;=85%,"Good",
IF(Attendance_Table[[#This Row],[Attendance%]]&gt;=75%,"Average","Poor")))</f>
        <v>Excellent</v>
      </c>
    </row>
    <row r="83" spans="1:8" x14ac:dyDescent="0.3">
      <c r="A83" s="2" t="s">
        <v>10</v>
      </c>
      <c r="B83" s="2" t="s">
        <v>11</v>
      </c>
      <c r="C83" s="2" t="s">
        <v>12</v>
      </c>
      <c r="D83" s="2" t="s">
        <v>33</v>
      </c>
      <c r="E83" s="2">
        <v>25</v>
      </c>
      <c r="F83" s="2">
        <v>23</v>
      </c>
      <c r="G83" s="3">
        <f>Attendance_Table[[#This Row],[Present Days]]/Attendance_Table[[#This Row],[Working Days]]</f>
        <v>0.92</v>
      </c>
      <c r="H83" t="str">
        <f>IF(Attendance_Table[[#This Row],[Attendance%]]&gt;=95%,"Excellent",
IF(Attendance_Table[[#This Row],[Attendance%]]&gt;=85%,"Good",
IF(Attendance_Table[[#This Row],[Attendance%]]&gt;=75%,"Average","Poor")))</f>
        <v>Good</v>
      </c>
    </row>
    <row r="84" spans="1:8" x14ac:dyDescent="0.3">
      <c r="A84" s="2" t="s">
        <v>13</v>
      </c>
      <c r="B84" s="2" t="s">
        <v>14</v>
      </c>
      <c r="C84" s="2" t="s">
        <v>15</v>
      </c>
      <c r="D84" s="2" t="s">
        <v>33</v>
      </c>
      <c r="E84" s="2">
        <v>25</v>
      </c>
      <c r="F84" s="2">
        <v>25</v>
      </c>
      <c r="G84" s="3">
        <f>Attendance_Table[[#This Row],[Present Days]]/Attendance_Table[[#This Row],[Working Days]]</f>
        <v>1</v>
      </c>
      <c r="H84" t="str">
        <f>IF(Attendance_Table[[#This Row],[Attendance%]]&gt;=95%,"Excellent",
IF(Attendance_Table[[#This Row],[Attendance%]]&gt;=85%,"Good",
IF(Attendance_Table[[#This Row],[Attendance%]]&gt;=75%,"Average","Poor")))</f>
        <v>Excellent</v>
      </c>
    </row>
    <row r="85" spans="1:8" x14ac:dyDescent="0.3">
      <c r="A85" s="2" t="s">
        <v>16</v>
      </c>
      <c r="B85" s="2" t="s">
        <v>17</v>
      </c>
      <c r="C85" s="2" t="s">
        <v>18</v>
      </c>
      <c r="D85" s="2" t="s">
        <v>33</v>
      </c>
      <c r="E85" s="2">
        <v>25</v>
      </c>
      <c r="F85" s="2">
        <v>22</v>
      </c>
      <c r="G85" s="3">
        <f>Attendance_Table[[#This Row],[Present Days]]/Attendance_Table[[#This Row],[Working Days]]</f>
        <v>0.88</v>
      </c>
      <c r="H85" t="str">
        <f>IF(Attendance_Table[[#This Row],[Attendance%]]&gt;=95%,"Excellent",
IF(Attendance_Table[[#This Row],[Attendance%]]&gt;=85%,"Good",
IF(Attendance_Table[[#This Row],[Attendance%]]&gt;=75%,"Average","Poor")))</f>
        <v>Good</v>
      </c>
    </row>
    <row r="86" spans="1:8" x14ac:dyDescent="0.3">
      <c r="A86" s="2" t="s">
        <v>19</v>
      </c>
      <c r="B86" s="2" t="s">
        <v>20</v>
      </c>
      <c r="C86" s="2" t="s">
        <v>8</v>
      </c>
      <c r="D86" s="2" t="s">
        <v>33</v>
      </c>
      <c r="E86" s="2">
        <v>25</v>
      </c>
      <c r="F86" s="2">
        <v>21</v>
      </c>
      <c r="G86" s="3">
        <f>Attendance_Table[[#This Row],[Present Days]]/Attendance_Table[[#This Row],[Working Days]]</f>
        <v>0.84</v>
      </c>
      <c r="H86" t="str">
        <f>IF(Attendance_Table[[#This Row],[Attendance%]]&gt;=95%,"Excellent",
IF(Attendance_Table[[#This Row],[Attendance%]]&gt;=85%,"Good",
IF(Attendance_Table[[#This Row],[Attendance%]]&gt;=75%,"Average","Poor")))</f>
        <v>Average</v>
      </c>
    </row>
    <row r="87" spans="1:8" x14ac:dyDescent="0.3">
      <c r="A87" s="2" t="s">
        <v>21</v>
      </c>
      <c r="B87" s="2" t="s">
        <v>22</v>
      </c>
      <c r="C87" s="2" t="s">
        <v>12</v>
      </c>
      <c r="D87" s="2" t="s">
        <v>33</v>
      </c>
      <c r="E87" s="2">
        <v>25</v>
      </c>
      <c r="F87" s="2">
        <v>24</v>
      </c>
      <c r="G87" s="3">
        <f>Attendance_Table[[#This Row],[Present Days]]/Attendance_Table[[#This Row],[Working Days]]</f>
        <v>0.96</v>
      </c>
      <c r="H87" t="str">
        <f>IF(Attendance_Table[[#This Row],[Attendance%]]&gt;=95%,"Excellent",
IF(Attendance_Table[[#This Row],[Attendance%]]&gt;=85%,"Good",
IF(Attendance_Table[[#This Row],[Attendance%]]&gt;=75%,"Average","Poor")))</f>
        <v>Excellent</v>
      </c>
    </row>
    <row r="88" spans="1:8" x14ac:dyDescent="0.3">
      <c r="A88" s="2" t="s">
        <v>23</v>
      </c>
      <c r="B88" s="2" t="s">
        <v>24</v>
      </c>
      <c r="C88" s="2" t="s">
        <v>15</v>
      </c>
      <c r="D88" s="2" t="s">
        <v>33</v>
      </c>
      <c r="E88" s="2">
        <v>25</v>
      </c>
      <c r="F88" s="2">
        <v>23</v>
      </c>
      <c r="G88" s="3">
        <f>Attendance_Table[[#This Row],[Present Days]]/Attendance_Table[[#This Row],[Working Days]]</f>
        <v>0.92</v>
      </c>
      <c r="H88" t="str">
        <f>IF(Attendance_Table[[#This Row],[Attendance%]]&gt;=95%,"Excellent",
IF(Attendance_Table[[#This Row],[Attendance%]]&gt;=85%,"Good",
IF(Attendance_Table[[#This Row],[Attendance%]]&gt;=75%,"Average","Poor")))</f>
        <v>Good</v>
      </c>
    </row>
    <row r="89" spans="1:8" x14ac:dyDescent="0.3">
      <c r="A89" s="2" t="s">
        <v>25</v>
      </c>
      <c r="B89" s="2" t="s">
        <v>26</v>
      </c>
      <c r="C89" s="2" t="s">
        <v>18</v>
      </c>
      <c r="D89" s="2" t="s">
        <v>33</v>
      </c>
      <c r="E89" s="2">
        <v>25</v>
      </c>
      <c r="F89" s="2">
        <v>25</v>
      </c>
      <c r="G89" s="3">
        <f>Attendance_Table[[#This Row],[Present Days]]/Attendance_Table[[#This Row],[Working Days]]</f>
        <v>1</v>
      </c>
      <c r="H89" t="str">
        <f>IF(Attendance_Table[[#This Row],[Attendance%]]&gt;=95%,"Excellent",
IF(Attendance_Table[[#This Row],[Attendance%]]&gt;=85%,"Good",
IF(Attendance_Table[[#This Row],[Attendance%]]&gt;=75%,"Average","Poor")))</f>
        <v>Excellent</v>
      </c>
    </row>
    <row r="90" spans="1:8" x14ac:dyDescent="0.3">
      <c r="A90" s="2" t="s">
        <v>27</v>
      </c>
      <c r="B90" s="2" t="s">
        <v>28</v>
      </c>
      <c r="C90" s="2" t="s">
        <v>8</v>
      </c>
      <c r="D90" s="2" t="s">
        <v>33</v>
      </c>
      <c r="E90" s="2">
        <v>25</v>
      </c>
      <c r="F90" s="2">
        <v>20</v>
      </c>
      <c r="G90" s="3">
        <f>Attendance_Table[[#This Row],[Present Days]]/Attendance_Table[[#This Row],[Working Days]]</f>
        <v>0.8</v>
      </c>
      <c r="H90" t="str">
        <f>IF(Attendance_Table[[#This Row],[Attendance%]]&gt;=95%,"Excellent",
IF(Attendance_Table[[#This Row],[Attendance%]]&gt;=85%,"Good",
IF(Attendance_Table[[#This Row],[Attendance%]]&gt;=75%,"Average","Poor")))</f>
        <v>Average</v>
      </c>
    </row>
    <row r="91" spans="1:8" x14ac:dyDescent="0.3">
      <c r="A91" s="2" t="s">
        <v>29</v>
      </c>
      <c r="B91" s="2" t="s">
        <v>30</v>
      </c>
      <c r="C91" s="2" t="s">
        <v>12</v>
      </c>
      <c r="D91" s="2" t="s">
        <v>33</v>
      </c>
      <c r="E91" s="2">
        <v>25</v>
      </c>
      <c r="F91" s="2">
        <v>24</v>
      </c>
      <c r="G91" s="3">
        <f>Attendance_Table[[#This Row],[Present Days]]/Attendance_Table[[#This Row],[Working Days]]</f>
        <v>0.96</v>
      </c>
      <c r="H91" t="str">
        <f>IF(Attendance_Table[[#This Row],[Attendance%]]&gt;=95%,"Excellent",
IF(Attendance_Table[[#This Row],[Attendance%]]&gt;=85%,"Good",
IF(Attendance_Table[[#This Row],[Attendance%]]&gt;=75%,"Average","Poor")))</f>
        <v>Excellent</v>
      </c>
    </row>
    <row r="92" spans="1:8" x14ac:dyDescent="0.3">
      <c r="A92" s="2" t="s">
        <v>6</v>
      </c>
      <c r="B92" s="2" t="s">
        <v>7</v>
      </c>
      <c r="C92" s="2" t="s">
        <v>8</v>
      </c>
      <c r="D92" s="2" t="s">
        <v>34</v>
      </c>
      <c r="E92" s="2">
        <v>26</v>
      </c>
      <c r="F92" s="2">
        <v>25</v>
      </c>
      <c r="G92" s="3">
        <f>Attendance_Table[[#This Row],[Present Days]]/Attendance_Table[[#This Row],[Working Days]]</f>
        <v>0.96153846153846156</v>
      </c>
      <c r="H92" t="str">
        <f>IF(Attendance_Table[[#This Row],[Attendance%]]&gt;=95%,"Excellent",
IF(Attendance_Table[[#This Row],[Attendance%]]&gt;=85%,"Good",
IF(Attendance_Table[[#This Row],[Attendance%]]&gt;=75%,"Average","Poor")))</f>
        <v>Excellent</v>
      </c>
    </row>
    <row r="93" spans="1:8" x14ac:dyDescent="0.3">
      <c r="A93" s="2" t="s">
        <v>10</v>
      </c>
      <c r="B93" s="2" t="s">
        <v>11</v>
      </c>
      <c r="C93" s="2" t="s">
        <v>12</v>
      </c>
      <c r="D93" s="2" t="s">
        <v>34</v>
      </c>
      <c r="E93" s="2">
        <v>26</v>
      </c>
      <c r="F93" s="2">
        <v>24</v>
      </c>
      <c r="G93" s="3">
        <f>Attendance_Table[[#This Row],[Present Days]]/Attendance_Table[[#This Row],[Working Days]]</f>
        <v>0.92307692307692313</v>
      </c>
      <c r="H93" t="str">
        <f>IF(Attendance_Table[[#This Row],[Attendance%]]&gt;=95%,"Excellent",
IF(Attendance_Table[[#This Row],[Attendance%]]&gt;=85%,"Good",
IF(Attendance_Table[[#This Row],[Attendance%]]&gt;=75%,"Average","Poor")))</f>
        <v>Good</v>
      </c>
    </row>
    <row r="94" spans="1:8" x14ac:dyDescent="0.3">
      <c r="A94" s="2" t="s">
        <v>13</v>
      </c>
      <c r="B94" s="2" t="s">
        <v>14</v>
      </c>
      <c r="C94" s="2" t="s">
        <v>15</v>
      </c>
      <c r="D94" s="2" t="s">
        <v>34</v>
      </c>
      <c r="E94" s="2">
        <v>26</v>
      </c>
      <c r="F94" s="2">
        <v>26</v>
      </c>
      <c r="G94" s="3">
        <f>Attendance_Table[[#This Row],[Present Days]]/Attendance_Table[[#This Row],[Working Days]]</f>
        <v>1</v>
      </c>
      <c r="H94" t="str">
        <f>IF(Attendance_Table[[#This Row],[Attendance%]]&gt;=95%,"Excellent",
IF(Attendance_Table[[#This Row],[Attendance%]]&gt;=85%,"Good",
IF(Attendance_Table[[#This Row],[Attendance%]]&gt;=75%,"Average","Poor")))</f>
        <v>Excellent</v>
      </c>
    </row>
    <row r="95" spans="1:8" x14ac:dyDescent="0.3">
      <c r="A95" s="2" t="s">
        <v>16</v>
      </c>
      <c r="B95" s="2" t="s">
        <v>17</v>
      </c>
      <c r="C95" s="2" t="s">
        <v>18</v>
      </c>
      <c r="D95" s="2" t="s">
        <v>34</v>
      </c>
      <c r="E95" s="2">
        <v>26</v>
      </c>
      <c r="F95" s="2">
        <v>23</v>
      </c>
      <c r="G95" s="3">
        <f>Attendance_Table[[#This Row],[Present Days]]/Attendance_Table[[#This Row],[Working Days]]</f>
        <v>0.88461538461538458</v>
      </c>
      <c r="H95" t="str">
        <f>IF(Attendance_Table[[#This Row],[Attendance%]]&gt;=95%,"Excellent",
IF(Attendance_Table[[#This Row],[Attendance%]]&gt;=85%,"Good",
IF(Attendance_Table[[#This Row],[Attendance%]]&gt;=75%,"Average","Poor")))</f>
        <v>Good</v>
      </c>
    </row>
    <row r="96" spans="1:8" x14ac:dyDescent="0.3">
      <c r="A96" s="2" t="s">
        <v>19</v>
      </c>
      <c r="B96" s="2" t="s">
        <v>20</v>
      </c>
      <c r="C96" s="2" t="s">
        <v>8</v>
      </c>
      <c r="D96" s="2" t="s">
        <v>34</v>
      </c>
      <c r="E96" s="2">
        <v>26</v>
      </c>
      <c r="F96" s="2">
        <v>22</v>
      </c>
      <c r="G96" s="3">
        <f>Attendance_Table[[#This Row],[Present Days]]/Attendance_Table[[#This Row],[Working Days]]</f>
        <v>0.84615384615384615</v>
      </c>
      <c r="H96" t="str">
        <f>IF(Attendance_Table[[#This Row],[Attendance%]]&gt;=95%,"Excellent",
IF(Attendance_Table[[#This Row],[Attendance%]]&gt;=85%,"Good",
IF(Attendance_Table[[#This Row],[Attendance%]]&gt;=75%,"Average","Poor")))</f>
        <v>Average</v>
      </c>
    </row>
    <row r="97" spans="1:8" x14ac:dyDescent="0.3">
      <c r="A97" s="2" t="s">
        <v>21</v>
      </c>
      <c r="B97" s="2" t="s">
        <v>22</v>
      </c>
      <c r="C97" s="2" t="s">
        <v>12</v>
      </c>
      <c r="D97" s="2" t="s">
        <v>34</v>
      </c>
      <c r="E97" s="2">
        <v>26</v>
      </c>
      <c r="F97" s="2">
        <v>25</v>
      </c>
      <c r="G97" s="3">
        <f>Attendance_Table[[#This Row],[Present Days]]/Attendance_Table[[#This Row],[Working Days]]</f>
        <v>0.96153846153846156</v>
      </c>
      <c r="H97" t="str">
        <f>IF(Attendance_Table[[#This Row],[Attendance%]]&gt;=95%,"Excellent",
IF(Attendance_Table[[#This Row],[Attendance%]]&gt;=85%,"Good",
IF(Attendance_Table[[#This Row],[Attendance%]]&gt;=75%,"Average","Poor")))</f>
        <v>Excellent</v>
      </c>
    </row>
    <row r="98" spans="1:8" x14ac:dyDescent="0.3">
      <c r="A98" s="2" t="s">
        <v>23</v>
      </c>
      <c r="B98" s="2" t="s">
        <v>24</v>
      </c>
      <c r="C98" s="2" t="s">
        <v>15</v>
      </c>
      <c r="D98" s="2" t="s">
        <v>34</v>
      </c>
      <c r="E98" s="2">
        <v>26</v>
      </c>
      <c r="F98" s="2">
        <v>24</v>
      </c>
      <c r="G98" s="3">
        <f>Attendance_Table[[#This Row],[Present Days]]/Attendance_Table[[#This Row],[Working Days]]</f>
        <v>0.92307692307692313</v>
      </c>
      <c r="H98" t="str">
        <f>IF(Attendance_Table[[#This Row],[Attendance%]]&gt;=95%,"Excellent",
IF(Attendance_Table[[#This Row],[Attendance%]]&gt;=85%,"Good",
IF(Attendance_Table[[#This Row],[Attendance%]]&gt;=75%,"Average","Poor")))</f>
        <v>Good</v>
      </c>
    </row>
    <row r="99" spans="1:8" x14ac:dyDescent="0.3">
      <c r="A99" s="2" t="s">
        <v>25</v>
      </c>
      <c r="B99" s="2" t="s">
        <v>26</v>
      </c>
      <c r="C99" s="2" t="s">
        <v>18</v>
      </c>
      <c r="D99" s="2" t="s">
        <v>34</v>
      </c>
      <c r="E99" s="2">
        <v>26</v>
      </c>
      <c r="F99" s="2">
        <v>26</v>
      </c>
      <c r="G99" s="3">
        <f>Attendance_Table[[#This Row],[Present Days]]/Attendance_Table[[#This Row],[Working Days]]</f>
        <v>1</v>
      </c>
      <c r="H99" t="str">
        <f>IF(Attendance_Table[[#This Row],[Attendance%]]&gt;=95%,"Excellent",
IF(Attendance_Table[[#This Row],[Attendance%]]&gt;=85%,"Good",
IF(Attendance_Table[[#This Row],[Attendance%]]&gt;=75%,"Average","Poor")))</f>
        <v>Excellent</v>
      </c>
    </row>
    <row r="100" spans="1:8" x14ac:dyDescent="0.3">
      <c r="A100" s="2" t="s">
        <v>27</v>
      </c>
      <c r="B100" s="2" t="s">
        <v>28</v>
      </c>
      <c r="C100" s="2" t="s">
        <v>8</v>
      </c>
      <c r="D100" s="2" t="s">
        <v>34</v>
      </c>
      <c r="E100" s="2">
        <v>26</v>
      </c>
      <c r="F100" s="2">
        <v>21</v>
      </c>
      <c r="G100" s="3">
        <f>Attendance_Table[[#This Row],[Present Days]]/Attendance_Table[[#This Row],[Working Days]]</f>
        <v>0.80769230769230771</v>
      </c>
      <c r="H100" t="str">
        <f>IF(Attendance_Table[[#This Row],[Attendance%]]&gt;=95%,"Excellent",
IF(Attendance_Table[[#This Row],[Attendance%]]&gt;=85%,"Good",
IF(Attendance_Table[[#This Row],[Attendance%]]&gt;=75%,"Average","Poor")))</f>
        <v>Average</v>
      </c>
    </row>
    <row r="101" spans="1:8" x14ac:dyDescent="0.3">
      <c r="A101" s="2" t="s">
        <v>29</v>
      </c>
      <c r="B101" s="2" t="s">
        <v>30</v>
      </c>
      <c r="C101" s="2" t="s">
        <v>12</v>
      </c>
      <c r="D101" s="2" t="s">
        <v>34</v>
      </c>
      <c r="E101" s="2">
        <v>26</v>
      </c>
      <c r="F101" s="2">
        <v>25</v>
      </c>
      <c r="G101" s="3">
        <f>Attendance_Table[[#This Row],[Present Days]]/Attendance_Table[[#This Row],[Working Days]]</f>
        <v>0.96153846153846156</v>
      </c>
      <c r="H101" t="str">
        <f>IF(Attendance_Table[[#This Row],[Attendance%]]&gt;=95%,"Excellent",
IF(Attendance_Table[[#This Row],[Attendance%]]&gt;=85%,"Good",
IF(Attendance_Table[[#This Row],[Attendance%]]&gt;=75%,"Average","Poor")))</f>
        <v>Excellent</v>
      </c>
    </row>
    <row r="102" spans="1:8" x14ac:dyDescent="0.3">
      <c r="A102" s="2" t="s">
        <v>6</v>
      </c>
      <c r="B102" s="2" t="s">
        <v>7</v>
      </c>
      <c r="C102" s="2" t="s">
        <v>8</v>
      </c>
      <c r="D102" s="2" t="s">
        <v>9</v>
      </c>
      <c r="E102" s="2">
        <v>26</v>
      </c>
      <c r="F102" s="2">
        <v>25</v>
      </c>
      <c r="G102" s="3">
        <f>Attendance_Table[[#This Row],[Present Days]]/Attendance_Table[[#This Row],[Working Days]]</f>
        <v>0.96153846153846156</v>
      </c>
      <c r="H102" t="str">
        <f>IF(Attendance_Table[[#This Row],[Attendance%]]&gt;=95%,"Excellent",
IF(Attendance_Table[[#This Row],[Attendance%]]&gt;=85%,"Good",
IF(Attendance_Table[[#This Row],[Attendance%]]&gt;=75%,"Average","Poor")))</f>
        <v>Excellent</v>
      </c>
    </row>
    <row r="103" spans="1:8" x14ac:dyDescent="0.3">
      <c r="A103" s="2" t="s">
        <v>10</v>
      </c>
      <c r="B103" s="2" t="s">
        <v>11</v>
      </c>
      <c r="C103" s="2" t="s">
        <v>12</v>
      </c>
      <c r="D103" s="2" t="s">
        <v>9</v>
      </c>
      <c r="E103" s="2">
        <v>26</v>
      </c>
      <c r="F103" s="2">
        <v>24</v>
      </c>
      <c r="G103" s="3">
        <f>Attendance_Table[[#This Row],[Present Days]]/Attendance_Table[[#This Row],[Working Days]]</f>
        <v>0.92307692307692313</v>
      </c>
      <c r="H103" t="str">
        <f>IF(Attendance_Table[[#This Row],[Attendance%]]&gt;=95%,"Excellent",
IF(Attendance_Table[[#This Row],[Attendance%]]&gt;=85%,"Good",
IF(Attendance_Table[[#This Row],[Attendance%]]&gt;=75%,"Average","Poor")))</f>
        <v>Good</v>
      </c>
    </row>
    <row r="104" spans="1:8" x14ac:dyDescent="0.3">
      <c r="A104" s="2" t="s">
        <v>13</v>
      </c>
      <c r="B104" s="2" t="s">
        <v>14</v>
      </c>
      <c r="C104" s="2" t="s">
        <v>15</v>
      </c>
      <c r="D104" s="2" t="s">
        <v>9</v>
      </c>
      <c r="E104" s="2">
        <v>26</v>
      </c>
      <c r="F104" s="2">
        <v>26</v>
      </c>
      <c r="G104" s="3">
        <f>Attendance_Table[[#This Row],[Present Days]]/Attendance_Table[[#This Row],[Working Days]]</f>
        <v>1</v>
      </c>
      <c r="H104" t="str">
        <f>IF(Attendance_Table[[#This Row],[Attendance%]]&gt;=95%,"Excellent",
IF(Attendance_Table[[#This Row],[Attendance%]]&gt;=85%,"Good",
IF(Attendance_Table[[#This Row],[Attendance%]]&gt;=75%,"Average","Poor")))</f>
        <v>Excellent</v>
      </c>
    </row>
    <row r="105" spans="1:8" x14ac:dyDescent="0.3">
      <c r="A105" s="2" t="s">
        <v>16</v>
      </c>
      <c r="B105" s="2" t="s">
        <v>17</v>
      </c>
      <c r="C105" s="2" t="s">
        <v>18</v>
      </c>
      <c r="D105" s="2" t="s">
        <v>9</v>
      </c>
      <c r="E105" s="2">
        <v>26</v>
      </c>
      <c r="F105" s="2">
        <v>23</v>
      </c>
      <c r="G105" s="3">
        <f>Attendance_Table[[#This Row],[Present Days]]/Attendance_Table[[#This Row],[Working Days]]</f>
        <v>0.88461538461538458</v>
      </c>
      <c r="H105" t="str">
        <f>IF(Attendance_Table[[#This Row],[Attendance%]]&gt;=95%,"Excellent",
IF(Attendance_Table[[#This Row],[Attendance%]]&gt;=85%,"Good",
IF(Attendance_Table[[#This Row],[Attendance%]]&gt;=75%,"Average","Poor")))</f>
        <v>Good</v>
      </c>
    </row>
    <row r="106" spans="1:8" x14ac:dyDescent="0.3">
      <c r="A106" s="2" t="s">
        <v>19</v>
      </c>
      <c r="B106" s="2" t="s">
        <v>20</v>
      </c>
      <c r="C106" s="2" t="s">
        <v>8</v>
      </c>
      <c r="D106" s="2" t="s">
        <v>9</v>
      </c>
      <c r="E106" s="2">
        <v>26</v>
      </c>
      <c r="F106" s="2">
        <v>22</v>
      </c>
      <c r="G106" s="3">
        <f>Attendance_Table[[#This Row],[Present Days]]/Attendance_Table[[#This Row],[Working Days]]</f>
        <v>0.84615384615384615</v>
      </c>
      <c r="H106" t="str">
        <f>IF(Attendance_Table[[#This Row],[Attendance%]]&gt;=95%,"Excellent",
IF(Attendance_Table[[#This Row],[Attendance%]]&gt;=85%,"Good",
IF(Attendance_Table[[#This Row],[Attendance%]]&gt;=75%,"Average","Poor")))</f>
        <v>Average</v>
      </c>
    </row>
    <row r="107" spans="1:8" x14ac:dyDescent="0.3">
      <c r="A107" s="2" t="s">
        <v>21</v>
      </c>
      <c r="B107" s="2" t="s">
        <v>22</v>
      </c>
      <c r="C107" s="2" t="s">
        <v>12</v>
      </c>
      <c r="D107" s="2" t="s">
        <v>9</v>
      </c>
      <c r="E107" s="2">
        <v>26</v>
      </c>
      <c r="F107" s="2">
        <v>25</v>
      </c>
      <c r="G107" s="3">
        <f>Attendance_Table[[#This Row],[Present Days]]/Attendance_Table[[#This Row],[Working Days]]</f>
        <v>0.96153846153846156</v>
      </c>
      <c r="H107" t="str">
        <f>IF(Attendance_Table[[#This Row],[Attendance%]]&gt;=95%,"Excellent",
IF(Attendance_Table[[#This Row],[Attendance%]]&gt;=85%,"Good",
IF(Attendance_Table[[#This Row],[Attendance%]]&gt;=75%,"Average","Poor")))</f>
        <v>Excellent</v>
      </c>
    </row>
    <row r="108" spans="1:8" x14ac:dyDescent="0.3">
      <c r="A108" s="2" t="s">
        <v>23</v>
      </c>
      <c r="B108" s="2" t="s">
        <v>24</v>
      </c>
      <c r="C108" s="2" t="s">
        <v>15</v>
      </c>
      <c r="D108" s="2" t="s">
        <v>9</v>
      </c>
      <c r="E108" s="2">
        <v>26</v>
      </c>
      <c r="F108" s="2">
        <v>24</v>
      </c>
      <c r="G108" s="3">
        <f>Attendance_Table[[#This Row],[Present Days]]/Attendance_Table[[#This Row],[Working Days]]</f>
        <v>0.92307692307692313</v>
      </c>
      <c r="H108" t="str">
        <f>IF(Attendance_Table[[#This Row],[Attendance%]]&gt;=95%,"Excellent",
IF(Attendance_Table[[#This Row],[Attendance%]]&gt;=85%,"Good",
IF(Attendance_Table[[#This Row],[Attendance%]]&gt;=75%,"Average","Poor")))</f>
        <v>Good</v>
      </c>
    </row>
    <row r="109" spans="1:8" x14ac:dyDescent="0.3">
      <c r="A109" s="2" t="s">
        <v>25</v>
      </c>
      <c r="B109" s="2" t="s">
        <v>26</v>
      </c>
      <c r="C109" s="2" t="s">
        <v>18</v>
      </c>
      <c r="D109" s="2" t="s">
        <v>9</v>
      </c>
      <c r="E109" s="2">
        <v>26</v>
      </c>
      <c r="F109" s="2">
        <v>26</v>
      </c>
      <c r="G109" s="3">
        <f>Attendance_Table[[#This Row],[Present Days]]/Attendance_Table[[#This Row],[Working Days]]</f>
        <v>1</v>
      </c>
      <c r="H109" t="str">
        <f>IF(Attendance_Table[[#This Row],[Attendance%]]&gt;=95%,"Excellent",
IF(Attendance_Table[[#This Row],[Attendance%]]&gt;=85%,"Good",
IF(Attendance_Table[[#This Row],[Attendance%]]&gt;=75%,"Average","Poor")))</f>
        <v>Excellent</v>
      </c>
    </row>
    <row r="110" spans="1:8" x14ac:dyDescent="0.3">
      <c r="A110" s="2" t="s">
        <v>27</v>
      </c>
      <c r="B110" s="2" t="s">
        <v>28</v>
      </c>
      <c r="C110" s="2" t="s">
        <v>8</v>
      </c>
      <c r="D110" s="2" t="s">
        <v>9</v>
      </c>
      <c r="E110" s="2">
        <v>26</v>
      </c>
      <c r="F110" s="2">
        <v>21</v>
      </c>
      <c r="G110" s="3">
        <f>Attendance_Table[[#This Row],[Present Days]]/Attendance_Table[[#This Row],[Working Days]]</f>
        <v>0.80769230769230771</v>
      </c>
      <c r="H110" t="str">
        <f>IF(Attendance_Table[[#This Row],[Attendance%]]&gt;=95%,"Excellent",
IF(Attendance_Table[[#This Row],[Attendance%]]&gt;=85%,"Good",
IF(Attendance_Table[[#This Row],[Attendance%]]&gt;=75%,"Average","Poor")))</f>
        <v>Average</v>
      </c>
    </row>
    <row r="111" spans="1:8" x14ac:dyDescent="0.3">
      <c r="A111" s="2" t="s">
        <v>29</v>
      </c>
      <c r="B111" s="2" t="s">
        <v>30</v>
      </c>
      <c r="C111" s="2" t="s">
        <v>12</v>
      </c>
      <c r="D111" s="2" t="s">
        <v>9</v>
      </c>
      <c r="E111" s="2">
        <v>26</v>
      </c>
      <c r="F111" s="2">
        <v>25</v>
      </c>
      <c r="G111" s="3">
        <f>Attendance_Table[[#This Row],[Present Days]]/Attendance_Table[[#This Row],[Working Days]]</f>
        <v>0.96153846153846156</v>
      </c>
      <c r="H111" t="str">
        <f>IF(Attendance_Table[[#This Row],[Attendance%]]&gt;=95%,"Excellent",
IF(Attendance_Table[[#This Row],[Attendance%]]&gt;=85%,"Good",
IF(Attendance_Table[[#This Row],[Attendance%]]&gt;=75%,"Average","Poor")))</f>
        <v>Excellent</v>
      </c>
    </row>
    <row r="112" spans="1:8" x14ac:dyDescent="0.3">
      <c r="A112" s="2" t="s">
        <v>6</v>
      </c>
      <c r="B112" s="2" t="s">
        <v>7</v>
      </c>
      <c r="C112" s="2" t="s">
        <v>8</v>
      </c>
      <c r="D112" s="2" t="s">
        <v>31</v>
      </c>
      <c r="E112" s="2">
        <v>24</v>
      </c>
      <c r="F112" s="2">
        <v>23</v>
      </c>
      <c r="G112" s="3">
        <f>Attendance_Table[[#This Row],[Present Days]]/Attendance_Table[[#This Row],[Working Days]]</f>
        <v>0.95833333333333337</v>
      </c>
      <c r="H112" t="str">
        <f>IF(Attendance_Table[[#This Row],[Attendance%]]&gt;=95%,"Excellent",
IF(Attendance_Table[[#This Row],[Attendance%]]&gt;=85%,"Good",
IF(Attendance_Table[[#This Row],[Attendance%]]&gt;=75%,"Average","Poor")))</f>
        <v>Excellent</v>
      </c>
    </row>
    <row r="113" spans="1:8" x14ac:dyDescent="0.3">
      <c r="A113" s="2" t="s">
        <v>10</v>
      </c>
      <c r="B113" s="2" t="s">
        <v>11</v>
      </c>
      <c r="C113" s="2" t="s">
        <v>12</v>
      </c>
      <c r="D113" s="2" t="s">
        <v>31</v>
      </c>
      <c r="E113" s="2">
        <v>24</v>
      </c>
      <c r="F113" s="2">
        <v>22</v>
      </c>
      <c r="G113" s="3">
        <f>Attendance_Table[[#This Row],[Present Days]]/Attendance_Table[[#This Row],[Working Days]]</f>
        <v>0.91666666666666663</v>
      </c>
      <c r="H113" t="str">
        <f>IF(Attendance_Table[[#This Row],[Attendance%]]&gt;=95%,"Excellent",
IF(Attendance_Table[[#This Row],[Attendance%]]&gt;=85%,"Good",
IF(Attendance_Table[[#This Row],[Attendance%]]&gt;=75%,"Average","Poor")))</f>
        <v>Good</v>
      </c>
    </row>
    <row r="114" spans="1:8" x14ac:dyDescent="0.3">
      <c r="A114" s="2" t="s">
        <v>13</v>
      </c>
      <c r="B114" s="2" t="s">
        <v>14</v>
      </c>
      <c r="C114" s="2" t="s">
        <v>15</v>
      </c>
      <c r="D114" s="2" t="s">
        <v>31</v>
      </c>
      <c r="E114" s="2">
        <v>24</v>
      </c>
      <c r="F114" s="2">
        <v>24</v>
      </c>
      <c r="G114" s="3">
        <f>Attendance_Table[[#This Row],[Present Days]]/Attendance_Table[[#This Row],[Working Days]]</f>
        <v>1</v>
      </c>
      <c r="H114" t="str">
        <f>IF(Attendance_Table[[#This Row],[Attendance%]]&gt;=95%,"Excellent",
IF(Attendance_Table[[#This Row],[Attendance%]]&gt;=85%,"Good",
IF(Attendance_Table[[#This Row],[Attendance%]]&gt;=75%,"Average","Poor")))</f>
        <v>Excellent</v>
      </c>
    </row>
    <row r="115" spans="1:8" x14ac:dyDescent="0.3">
      <c r="A115" s="2" t="s">
        <v>16</v>
      </c>
      <c r="B115" s="2" t="s">
        <v>17</v>
      </c>
      <c r="C115" s="2" t="s">
        <v>18</v>
      </c>
      <c r="D115" s="2" t="s">
        <v>31</v>
      </c>
      <c r="E115" s="2">
        <v>24</v>
      </c>
      <c r="F115" s="2">
        <v>21</v>
      </c>
      <c r="G115" s="3">
        <f>Attendance_Table[[#This Row],[Present Days]]/Attendance_Table[[#This Row],[Working Days]]</f>
        <v>0.875</v>
      </c>
      <c r="H115" t="str">
        <f>IF(Attendance_Table[[#This Row],[Attendance%]]&gt;=95%,"Excellent",
IF(Attendance_Table[[#This Row],[Attendance%]]&gt;=85%,"Good",
IF(Attendance_Table[[#This Row],[Attendance%]]&gt;=75%,"Average","Poor")))</f>
        <v>Good</v>
      </c>
    </row>
    <row r="116" spans="1:8" x14ac:dyDescent="0.3">
      <c r="A116" s="2" t="s">
        <v>19</v>
      </c>
      <c r="B116" s="2" t="s">
        <v>20</v>
      </c>
      <c r="C116" s="2" t="s">
        <v>8</v>
      </c>
      <c r="D116" s="2" t="s">
        <v>31</v>
      </c>
      <c r="E116" s="2">
        <v>24</v>
      </c>
      <c r="F116" s="2">
        <v>20</v>
      </c>
      <c r="G116" s="3">
        <f>Attendance_Table[[#This Row],[Present Days]]/Attendance_Table[[#This Row],[Working Days]]</f>
        <v>0.83333333333333337</v>
      </c>
      <c r="H116" t="str">
        <f>IF(Attendance_Table[[#This Row],[Attendance%]]&gt;=95%,"Excellent",
IF(Attendance_Table[[#This Row],[Attendance%]]&gt;=85%,"Good",
IF(Attendance_Table[[#This Row],[Attendance%]]&gt;=75%,"Average","Poor")))</f>
        <v>Average</v>
      </c>
    </row>
    <row r="117" spans="1:8" x14ac:dyDescent="0.3">
      <c r="A117" s="2" t="s">
        <v>21</v>
      </c>
      <c r="B117" s="2" t="s">
        <v>22</v>
      </c>
      <c r="C117" s="2" t="s">
        <v>12</v>
      </c>
      <c r="D117" s="2" t="s">
        <v>31</v>
      </c>
      <c r="E117" s="2">
        <v>24</v>
      </c>
      <c r="F117" s="2">
        <v>24</v>
      </c>
      <c r="G117" s="3">
        <f>Attendance_Table[[#This Row],[Present Days]]/Attendance_Table[[#This Row],[Working Days]]</f>
        <v>1</v>
      </c>
      <c r="H117" t="str">
        <f>IF(Attendance_Table[[#This Row],[Attendance%]]&gt;=95%,"Excellent",
IF(Attendance_Table[[#This Row],[Attendance%]]&gt;=85%,"Good",
IF(Attendance_Table[[#This Row],[Attendance%]]&gt;=75%,"Average","Poor")))</f>
        <v>Excellent</v>
      </c>
    </row>
    <row r="118" spans="1:8" x14ac:dyDescent="0.3">
      <c r="A118" s="2" t="s">
        <v>23</v>
      </c>
      <c r="B118" s="2" t="s">
        <v>24</v>
      </c>
      <c r="C118" s="2" t="s">
        <v>15</v>
      </c>
      <c r="D118" s="2" t="s">
        <v>31</v>
      </c>
      <c r="E118" s="2">
        <v>24</v>
      </c>
      <c r="F118" s="2">
        <v>23</v>
      </c>
      <c r="G118" s="3">
        <f>Attendance_Table[[#This Row],[Present Days]]/Attendance_Table[[#This Row],[Working Days]]</f>
        <v>0.95833333333333337</v>
      </c>
      <c r="H118" t="str">
        <f>IF(Attendance_Table[[#This Row],[Attendance%]]&gt;=95%,"Excellent",
IF(Attendance_Table[[#This Row],[Attendance%]]&gt;=85%,"Good",
IF(Attendance_Table[[#This Row],[Attendance%]]&gt;=75%,"Average","Poor")))</f>
        <v>Excellent</v>
      </c>
    </row>
    <row r="119" spans="1:8" x14ac:dyDescent="0.3">
      <c r="A119" s="2" t="s">
        <v>25</v>
      </c>
      <c r="B119" s="2" t="s">
        <v>26</v>
      </c>
      <c r="C119" s="2" t="s">
        <v>18</v>
      </c>
      <c r="D119" s="2" t="s">
        <v>31</v>
      </c>
      <c r="E119" s="2">
        <v>24</v>
      </c>
      <c r="F119" s="2">
        <v>24</v>
      </c>
      <c r="G119" s="3">
        <f>Attendance_Table[[#This Row],[Present Days]]/Attendance_Table[[#This Row],[Working Days]]</f>
        <v>1</v>
      </c>
      <c r="H119" t="str">
        <f>IF(Attendance_Table[[#This Row],[Attendance%]]&gt;=95%,"Excellent",
IF(Attendance_Table[[#This Row],[Attendance%]]&gt;=85%,"Good",
IF(Attendance_Table[[#This Row],[Attendance%]]&gt;=75%,"Average","Poor")))</f>
        <v>Excellent</v>
      </c>
    </row>
    <row r="120" spans="1:8" x14ac:dyDescent="0.3">
      <c r="A120" s="2" t="s">
        <v>27</v>
      </c>
      <c r="B120" s="2" t="s">
        <v>28</v>
      </c>
      <c r="C120" s="2" t="s">
        <v>8</v>
      </c>
      <c r="D120" s="2" t="s">
        <v>31</v>
      </c>
      <c r="E120" s="2">
        <v>24</v>
      </c>
      <c r="F120" s="2">
        <v>19</v>
      </c>
      <c r="G120" s="3">
        <f>Attendance_Table[[#This Row],[Present Days]]/Attendance_Table[[#This Row],[Working Days]]</f>
        <v>0.79166666666666663</v>
      </c>
      <c r="H120" t="str">
        <f>IF(Attendance_Table[[#This Row],[Attendance%]]&gt;=95%,"Excellent",
IF(Attendance_Table[[#This Row],[Attendance%]]&gt;=85%,"Good",
IF(Attendance_Table[[#This Row],[Attendance%]]&gt;=75%,"Average","Poor")))</f>
        <v>Average</v>
      </c>
    </row>
    <row r="121" spans="1:8" x14ac:dyDescent="0.3">
      <c r="A121" s="2" t="s">
        <v>29</v>
      </c>
      <c r="B121" s="2" t="s">
        <v>30</v>
      </c>
      <c r="C121" s="2" t="s">
        <v>12</v>
      </c>
      <c r="D121" s="2" t="s">
        <v>31</v>
      </c>
      <c r="E121" s="2">
        <v>24</v>
      </c>
      <c r="F121" s="2">
        <v>23</v>
      </c>
      <c r="G121" s="3">
        <f>Attendance_Table[[#This Row],[Present Days]]/Attendance_Table[[#This Row],[Working Days]]</f>
        <v>0.95833333333333337</v>
      </c>
      <c r="H121" t="str">
        <f>IF(Attendance_Table[[#This Row],[Attendance%]]&gt;=95%,"Excellent",
IF(Attendance_Table[[#This Row],[Attendance%]]&gt;=85%,"Good",
IF(Attendance_Table[[#This Row],[Attendance%]]&gt;=75%,"Average","Poor")))</f>
        <v>Excellent</v>
      </c>
    </row>
    <row r="122" spans="1:8" x14ac:dyDescent="0.3">
      <c r="A122" s="2" t="s">
        <v>6</v>
      </c>
      <c r="B122" s="2" t="s">
        <v>7</v>
      </c>
      <c r="C122" s="2" t="s">
        <v>8</v>
      </c>
      <c r="D122" s="2" t="s">
        <v>32</v>
      </c>
      <c r="E122" s="2">
        <v>26</v>
      </c>
      <c r="F122" s="2">
        <v>25</v>
      </c>
      <c r="G122" s="3">
        <f>Attendance_Table[[#This Row],[Present Days]]/Attendance_Table[[#This Row],[Working Days]]</f>
        <v>0.96153846153846156</v>
      </c>
      <c r="H122" t="str">
        <f>IF(Attendance_Table[[#This Row],[Attendance%]]&gt;=95%,"Excellent",
IF(Attendance_Table[[#This Row],[Attendance%]]&gt;=85%,"Good",
IF(Attendance_Table[[#This Row],[Attendance%]]&gt;=75%,"Average","Poor")))</f>
        <v>Excellent</v>
      </c>
    </row>
    <row r="123" spans="1:8" x14ac:dyDescent="0.3">
      <c r="A123" s="2" t="s">
        <v>10</v>
      </c>
      <c r="B123" s="2" t="s">
        <v>11</v>
      </c>
      <c r="C123" s="2" t="s">
        <v>12</v>
      </c>
      <c r="D123" s="2" t="s">
        <v>32</v>
      </c>
      <c r="E123" s="2">
        <v>26</v>
      </c>
      <c r="F123" s="2">
        <v>24</v>
      </c>
      <c r="G123" s="3">
        <f>Attendance_Table[[#This Row],[Present Days]]/Attendance_Table[[#This Row],[Working Days]]</f>
        <v>0.92307692307692313</v>
      </c>
      <c r="H123" t="str">
        <f>IF(Attendance_Table[[#This Row],[Attendance%]]&gt;=95%,"Excellent",
IF(Attendance_Table[[#This Row],[Attendance%]]&gt;=85%,"Good",
IF(Attendance_Table[[#This Row],[Attendance%]]&gt;=75%,"Average","Poor")))</f>
        <v>Good</v>
      </c>
    </row>
    <row r="124" spans="1:8" x14ac:dyDescent="0.3">
      <c r="A124" s="2" t="s">
        <v>13</v>
      </c>
      <c r="B124" s="2" t="s">
        <v>14</v>
      </c>
      <c r="C124" s="2" t="s">
        <v>15</v>
      </c>
      <c r="D124" s="2" t="s">
        <v>32</v>
      </c>
      <c r="E124" s="2">
        <v>26</v>
      </c>
      <c r="F124" s="2">
        <v>26</v>
      </c>
      <c r="G124" s="3">
        <f>Attendance_Table[[#This Row],[Present Days]]/Attendance_Table[[#This Row],[Working Days]]</f>
        <v>1</v>
      </c>
      <c r="H124" t="str">
        <f>IF(Attendance_Table[[#This Row],[Attendance%]]&gt;=95%,"Excellent",
IF(Attendance_Table[[#This Row],[Attendance%]]&gt;=85%,"Good",
IF(Attendance_Table[[#This Row],[Attendance%]]&gt;=75%,"Average","Poor")))</f>
        <v>Excellent</v>
      </c>
    </row>
    <row r="125" spans="1:8" x14ac:dyDescent="0.3">
      <c r="A125" s="2" t="s">
        <v>16</v>
      </c>
      <c r="B125" s="2" t="s">
        <v>17</v>
      </c>
      <c r="C125" s="2" t="s">
        <v>18</v>
      </c>
      <c r="D125" s="2" t="s">
        <v>32</v>
      </c>
      <c r="E125" s="2">
        <v>26</v>
      </c>
      <c r="F125" s="2">
        <v>22</v>
      </c>
      <c r="G125" s="3">
        <f>Attendance_Table[[#This Row],[Present Days]]/Attendance_Table[[#This Row],[Working Days]]</f>
        <v>0.84615384615384615</v>
      </c>
      <c r="H125" t="str">
        <f>IF(Attendance_Table[[#This Row],[Attendance%]]&gt;=95%,"Excellent",
IF(Attendance_Table[[#This Row],[Attendance%]]&gt;=85%,"Good",
IF(Attendance_Table[[#This Row],[Attendance%]]&gt;=75%,"Average","Poor")))</f>
        <v>Average</v>
      </c>
    </row>
    <row r="126" spans="1:8" x14ac:dyDescent="0.3">
      <c r="A126" s="2" t="s">
        <v>19</v>
      </c>
      <c r="B126" s="2" t="s">
        <v>20</v>
      </c>
      <c r="C126" s="2" t="s">
        <v>8</v>
      </c>
      <c r="D126" s="2" t="s">
        <v>32</v>
      </c>
      <c r="E126" s="2">
        <v>26</v>
      </c>
      <c r="F126" s="2">
        <v>23</v>
      </c>
      <c r="G126" s="3">
        <f>Attendance_Table[[#This Row],[Present Days]]/Attendance_Table[[#This Row],[Working Days]]</f>
        <v>0.88461538461538458</v>
      </c>
      <c r="H126" t="str">
        <f>IF(Attendance_Table[[#This Row],[Attendance%]]&gt;=95%,"Excellent",
IF(Attendance_Table[[#This Row],[Attendance%]]&gt;=85%,"Good",
IF(Attendance_Table[[#This Row],[Attendance%]]&gt;=75%,"Average","Poor")))</f>
        <v>Good</v>
      </c>
    </row>
    <row r="127" spans="1:8" x14ac:dyDescent="0.3">
      <c r="A127" s="2" t="s">
        <v>21</v>
      </c>
      <c r="B127" s="2" t="s">
        <v>22</v>
      </c>
      <c r="C127" s="2" t="s">
        <v>12</v>
      </c>
      <c r="D127" s="2" t="s">
        <v>32</v>
      </c>
      <c r="E127" s="2">
        <v>26</v>
      </c>
      <c r="F127" s="2">
        <v>25</v>
      </c>
      <c r="G127" s="3">
        <f>Attendance_Table[[#This Row],[Present Days]]/Attendance_Table[[#This Row],[Working Days]]</f>
        <v>0.96153846153846156</v>
      </c>
      <c r="H127" t="str">
        <f>IF(Attendance_Table[[#This Row],[Attendance%]]&gt;=95%,"Excellent",
IF(Attendance_Table[[#This Row],[Attendance%]]&gt;=85%,"Good",
IF(Attendance_Table[[#This Row],[Attendance%]]&gt;=75%,"Average","Poor")))</f>
        <v>Excellent</v>
      </c>
    </row>
    <row r="128" spans="1:8" x14ac:dyDescent="0.3">
      <c r="A128" s="2" t="s">
        <v>23</v>
      </c>
      <c r="B128" s="2" t="s">
        <v>24</v>
      </c>
      <c r="C128" s="2" t="s">
        <v>15</v>
      </c>
      <c r="D128" s="2" t="s">
        <v>32</v>
      </c>
      <c r="E128" s="2">
        <v>26</v>
      </c>
      <c r="F128" s="2">
        <v>24</v>
      </c>
      <c r="G128" s="3">
        <f>Attendance_Table[[#This Row],[Present Days]]/Attendance_Table[[#This Row],[Working Days]]</f>
        <v>0.92307692307692313</v>
      </c>
      <c r="H128" t="str">
        <f>IF(Attendance_Table[[#This Row],[Attendance%]]&gt;=95%,"Excellent",
IF(Attendance_Table[[#This Row],[Attendance%]]&gt;=85%,"Good",
IF(Attendance_Table[[#This Row],[Attendance%]]&gt;=75%,"Average","Poor")))</f>
        <v>Good</v>
      </c>
    </row>
    <row r="129" spans="1:8" x14ac:dyDescent="0.3">
      <c r="A129" s="2" t="s">
        <v>25</v>
      </c>
      <c r="B129" s="2" t="s">
        <v>26</v>
      </c>
      <c r="C129" s="2" t="s">
        <v>18</v>
      </c>
      <c r="D129" s="2" t="s">
        <v>32</v>
      </c>
      <c r="E129" s="2">
        <v>26</v>
      </c>
      <c r="F129" s="2">
        <v>26</v>
      </c>
      <c r="G129" s="3">
        <f>Attendance_Table[[#This Row],[Present Days]]/Attendance_Table[[#This Row],[Working Days]]</f>
        <v>1</v>
      </c>
      <c r="H129" t="str">
        <f>IF(Attendance_Table[[#This Row],[Attendance%]]&gt;=95%,"Excellent",
IF(Attendance_Table[[#This Row],[Attendance%]]&gt;=85%,"Good",
IF(Attendance_Table[[#This Row],[Attendance%]]&gt;=75%,"Average","Poor")))</f>
        <v>Excellent</v>
      </c>
    </row>
    <row r="130" spans="1:8" x14ac:dyDescent="0.3">
      <c r="A130" s="2" t="s">
        <v>27</v>
      </c>
      <c r="B130" s="2" t="s">
        <v>28</v>
      </c>
      <c r="C130" s="2" t="s">
        <v>8</v>
      </c>
      <c r="D130" s="2" t="s">
        <v>32</v>
      </c>
      <c r="E130" s="2">
        <v>26</v>
      </c>
      <c r="F130" s="2">
        <v>21</v>
      </c>
      <c r="G130" s="3">
        <f>Attendance_Table[[#This Row],[Present Days]]/Attendance_Table[[#This Row],[Working Days]]</f>
        <v>0.80769230769230771</v>
      </c>
      <c r="H130" t="str">
        <f>IF(Attendance_Table[[#This Row],[Attendance%]]&gt;=95%,"Excellent",
IF(Attendance_Table[[#This Row],[Attendance%]]&gt;=85%,"Good",
IF(Attendance_Table[[#This Row],[Attendance%]]&gt;=75%,"Average","Poor")))</f>
        <v>Average</v>
      </c>
    </row>
    <row r="131" spans="1:8" x14ac:dyDescent="0.3">
      <c r="A131" s="2" t="s">
        <v>29</v>
      </c>
      <c r="B131" s="2" t="s">
        <v>30</v>
      </c>
      <c r="C131" s="2" t="s">
        <v>12</v>
      </c>
      <c r="D131" s="2" t="s">
        <v>32</v>
      </c>
      <c r="E131" s="2">
        <v>26</v>
      </c>
      <c r="F131" s="2">
        <v>25</v>
      </c>
      <c r="G131" s="3">
        <f>Attendance_Table[[#This Row],[Present Days]]/Attendance_Table[[#This Row],[Working Days]]</f>
        <v>0.96153846153846156</v>
      </c>
      <c r="H131" t="str">
        <f>IF(Attendance_Table[[#This Row],[Attendance%]]&gt;=95%,"Excellent",
IF(Attendance_Table[[#This Row],[Attendance%]]&gt;=85%,"Good",
IF(Attendance_Table[[#This Row],[Attendance%]]&gt;=75%,"Average","Poor")))</f>
        <v>Excellent</v>
      </c>
    </row>
    <row r="132" spans="1:8" x14ac:dyDescent="0.3">
      <c r="A132" s="2" t="s">
        <v>6</v>
      </c>
      <c r="B132" s="2" t="s">
        <v>7</v>
      </c>
      <c r="C132" s="2" t="s">
        <v>8</v>
      </c>
      <c r="D132" s="2" t="s">
        <v>33</v>
      </c>
      <c r="E132" s="2">
        <v>25</v>
      </c>
      <c r="F132" s="2">
        <v>24</v>
      </c>
      <c r="G132" s="3">
        <f>Attendance_Table[[#This Row],[Present Days]]/Attendance_Table[[#This Row],[Working Days]]</f>
        <v>0.96</v>
      </c>
      <c r="H132" t="str">
        <f>IF(Attendance_Table[[#This Row],[Attendance%]]&gt;=95%,"Excellent",
IF(Attendance_Table[[#This Row],[Attendance%]]&gt;=85%,"Good",
IF(Attendance_Table[[#This Row],[Attendance%]]&gt;=75%,"Average","Poor")))</f>
        <v>Excellent</v>
      </c>
    </row>
    <row r="133" spans="1:8" x14ac:dyDescent="0.3">
      <c r="A133" s="2" t="s">
        <v>10</v>
      </c>
      <c r="B133" s="2" t="s">
        <v>11</v>
      </c>
      <c r="C133" s="2" t="s">
        <v>12</v>
      </c>
      <c r="D133" s="2" t="s">
        <v>33</v>
      </c>
      <c r="E133" s="2">
        <v>25</v>
      </c>
      <c r="F133" s="2">
        <v>23</v>
      </c>
      <c r="G133" s="3">
        <f>Attendance_Table[[#This Row],[Present Days]]/Attendance_Table[[#This Row],[Working Days]]</f>
        <v>0.92</v>
      </c>
      <c r="H133" t="str">
        <f>IF(Attendance_Table[[#This Row],[Attendance%]]&gt;=95%,"Excellent",
IF(Attendance_Table[[#This Row],[Attendance%]]&gt;=85%,"Good",
IF(Attendance_Table[[#This Row],[Attendance%]]&gt;=75%,"Average","Poor")))</f>
        <v>Good</v>
      </c>
    </row>
    <row r="134" spans="1:8" x14ac:dyDescent="0.3">
      <c r="A134" s="2" t="s">
        <v>13</v>
      </c>
      <c r="B134" s="2" t="s">
        <v>14</v>
      </c>
      <c r="C134" s="2" t="s">
        <v>15</v>
      </c>
      <c r="D134" s="2" t="s">
        <v>33</v>
      </c>
      <c r="E134" s="2">
        <v>25</v>
      </c>
      <c r="F134" s="2">
        <v>25</v>
      </c>
      <c r="G134" s="3">
        <f>Attendance_Table[[#This Row],[Present Days]]/Attendance_Table[[#This Row],[Working Days]]</f>
        <v>1</v>
      </c>
      <c r="H134" t="str">
        <f>IF(Attendance_Table[[#This Row],[Attendance%]]&gt;=95%,"Excellent",
IF(Attendance_Table[[#This Row],[Attendance%]]&gt;=85%,"Good",
IF(Attendance_Table[[#This Row],[Attendance%]]&gt;=75%,"Average","Poor")))</f>
        <v>Excellent</v>
      </c>
    </row>
    <row r="135" spans="1:8" x14ac:dyDescent="0.3">
      <c r="A135" s="2" t="s">
        <v>16</v>
      </c>
      <c r="B135" s="2" t="s">
        <v>17</v>
      </c>
      <c r="C135" s="2" t="s">
        <v>18</v>
      </c>
      <c r="D135" s="2" t="s">
        <v>33</v>
      </c>
      <c r="E135" s="2">
        <v>25</v>
      </c>
      <c r="F135" s="2">
        <v>22</v>
      </c>
      <c r="G135" s="3">
        <f>Attendance_Table[[#This Row],[Present Days]]/Attendance_Table[[#This Row],[Working Days]]</f>
        <v>0.88</v>
      </c>
      <c r="H135" t="str">
        <f>IF(Attendance_Table[[#This Row],[Attendance%]]&gt;=95%,"Excellent",
IF(Attendance_Table[[#This Row],[Attendance%]]&gt;=85%,"Good",
IF(Attendance_Table[[#This Row],[Attendance%]]&gt;=75%,"Average","Poor")))</f>
        <v>Good</v>
      </c>
    </row>
    <row r="136" spans="1:8" x14ac:dyDescent="0.3">
      <c r="A136" s="2" t="s">
        <v>19</v>
      </c>
      <c r="B136" s="2" t="s">
        <v>20</v>
      </c>
      <c r="C136" s="2" t="s">
        <v>8</v>
      </c>
      <c r="D136" s="2" t="s">
        <v>33</v>
      </c>
      <c r="E136" s="2">
        <v>25</v>
      </c>
      <c r="F136" s="2">
        <v>21</v>
      </c>
      <c r="G136" s="3">
        <f>Attendance_Table[[#This Row],[Present Days]]/Attendance_Table[[#This Row],[Working Days]]</f>
        <v>0.84</v>
      </c>
      <c r="H136" t="str">
        <f>IF(Attendance_Table[[#This Row],[Attendance%]]&gt;=95%,"Excellent",
IF(Attendance_Table[[#This Row],[Attendance%]]&gt;=85%,"Good",
IF(Attendance_Table[[#This Row],[Attendance%]]&gt;=75%,"Average","Poor")))</f>
        <v>Average</v>
      </c>
    </row>
    <row r="137" spans="1:8" x14ac:dyDescent="0.3">
      <c r="A137" s="2" t="s">
        <v>21</v>
      </c>
      <c r="B137" s="2" t="s">
        <v>22</v>
      </c>
      <c r="C137" s="2" t="s">
        <v>12</v>
      </c>
      <c r="D137" s="2" t="s">
        <v>33</v>
      </c>
      <c r="E137" s="2">
        <v>25</v>
      </c>
      <c r="F137" s="2">
        <v>24</v>
      </c>
      <c r="G137" s="3">
        <f>Attendance_Table[[#This Row],[Present Days]]/Attendance_Table[[#This Row],[Working Days]]</f>
        <v>0.96</v>
      </c>
      <c r="H137" t="str">
        <f>IF(Attendance_Table[[#This Row],[Attendance%]]&gt;=95%,"Excellent",
IF(Attendance_Table[[#This Row],[Attendance%]]&gt;=85%,"Good",
IF(Attendance_Table[[#This Row],[Attendance%]]&gt;=75%,"Average","Poor")))</f>
        <v>Excellent</v>
      </c>
    </row>
    <row r="138" spans="1:8" x14ac:dyDescent="0.3">
      <c r="A138" s="2" t="s">
        <v>23</v>
      </c>
      <c r="B138" s="2" t="s">
        <v>24</v>
      </c>
      <c r="C138" s="2" t="s">
        <v>15</v>
      </c>
      <c r="D138" s="2" t="s">
        <v>33</v>
      </c>
      <c r="E138" s="2">
        <v>25</v>
      </c>
      <c r="F138" s="2">
        <v>23</v>
      </c>
      <c r="G138" s="3">
        <f>Attendance_Table[[#This Row],[Present Days]]/Attendance_Table[[#This Row],[Working Days]]</f>
        <v>0.92</v>
      </c>
      <c r="H138" t="str">
        <f>IF(Attendance_Table[[#This Row],[Attendance%]]&gt;=95%,"Excellent",
IF(Attendance_Table[[#This Row],[Attendance%]]&gt;=85%,"Good",
IF(Attendance_Table[[#This Row],[Attendance%]]&gt;=75%,"Average","Poor")))</f>
        <v>Good</v>
      </c>
    </row>
    <row r="139" spans="1:8" x14ac:dyDescent="0.3">
      <c r="A139" s="2" t="s">
        <v>25</v>
      </c>
      <c r="B139" s="2" t="s">
        <v>26</v>
      </c>
      <c r="C139" s="2" t="s">
        <v>18</v>
      </c>
      <c r="D139" s="2" t="s">
        <v>33</v>
      </c>
      <c r="E139" s="2">
        <v>25</v>
      </c>
      <c r="F139" s="2">
        <v>25</v>
      </c>
      <c r="G139" s="3">
        <f>Attendance_Table[[#This Row],[Present Days]]/Attendance_Table[[#This Row],[Working Days]]</f>
        <v>1</v>
      </c>
      <c r="H139" t="str">
        <f>IF(Attendance_Table[[#This Row],[Attendance%]]&gt;=95%,"Excellent",
IF(Attendance_Table[[#This Row],[Attendance%]]&gt;=85%,"Good",
IF(Attendance_Table[[#This Row],[Attendance%]]&gt;=75%,"Average","Poor")))</f>
        <v>Excellent</v>
      </c>
    </row>
    <row r="140" spans="1:8" x14ac:dyDescent="0.3">
      <c r="A140" s="2" t="s">
        <v>27</v>
      </c>
      <c r="B140" s="2" t="s">
        <v>28</v>
      </c>
      <c r="C140" s="2" t="s">
        <v>8</v>
      </c>
      <c r="D140" s="2" t="s">
        <v>33</v>
      </c>
      <c r="E140" s="2">
        <v>25</v>
      </c>
      <c r="F140" s="2">
        <v>20</v>
      </c>
      <c r="G140" s="3">
        <f>Attendance_Table[[#This Row],[Present Days]]/Attendance_Table[[#This Row],[Working Days]]</f>
        <v>0.8</v>
      </c>
      <c r="H140" t="str">
        <f>IF(Attendance_Table[[#This Row],[Attendance%]]&gt;=95%,"Excellent",
IF(Attendance_Table[[#This Row],[Attendance%]]&gt;=85%,"Good",
IF(Attendance_Table[[#This Row],[Attendance%]]&gt;=75%,"Average","Poor")))</f>
        <v>Average</v>
      </c>
    </row>
    <row r="141" spans="1:8" x14ac:dyDescent="0.3">
      <c r="A141" s="2" t="s">
        <v>29</v>
      </c>
      <c r="B141" s="2" t="s">
        <v>30</v>
      </c>
      <c r="C141" s="2" t="s">
        <v>12</v>
      </c>
      <c r="D141" s="2" t="s">
        <v>33</v>
      </c>
      <c r="E141" s="2">
        <v>25</v>
      </c>
      <c r="F141" s="2">
        <v>24</v>
      </c>
      <c r="G141" s="3">
        <f>Attendance_Table[[#This Row],[Present Days]]/Attendance_Table[[#This Row],[Working Days]]</f>
        <v>0.96</v>
      </c>
      <c r="H141" t="str">
        <f>IF(Attendance_Table[[#This Row],[Attendance%]]&gt;=95%,"Excellent",
IF(Attendance_Table[[#This Row],[Attendance%]]&gt;=85%,"Good",
IF(Attendance_Table[[#This Row],[Attendance%]]&gt;=75%,"Average","Poor")))</f>
        <v>Excellent</v>
      </c>
    </row>
    <row r="142" spans="1:8" x14ac:dyDescent="0.3">
      <c r="A142" s="2" t="s">
        <v>6</v>
      </c>
      <c r="B142" s="2" t="s">
        <v>7</v>
      </c>
      <c r="C142" s="2" t="s">
        <v>8</v>
      </c>
      <c r="D142" s="2" t="s">
        <v>34</v>
      </c>
      <c r="E142" s="2">
        <v>26</v>
      </c>
      <c r="F142" s="2">
        <v>25</v>
      </c>
      <c r="G142" s="3">
        <f>Attendance_Table[[#This Row],[Present Days]]/Attendance_Table[[#This Row],[Working Days]]</f>
        <v>0.96153846153846156</v>
      </c>
      <c r="H142" t="str">
        <f>IF(Attendance_Table[[#This Row],[Attendance%]]&gt;=95%,"Excellent",
IF(Attendance_Table[[#This Row],[Attendance%]]&gt;=85%,"Good",
IF(Attendance_Table[[#This Row],[Attendance%]]&gt;=75%,"Average","Poor")))</f>
        <v>Excellent</v>
      </c>
    </row>
    <row r="143" spans="1:8" x14ac:dyDescent="0.3">
      <c r="A143" s="2" t="s">
        <v>10</v>
      </c>
      <c r="B143" s="2" t="s">
        <v>11</v>
      </c>
      <c r="C143" s="2" t="s">
        <v>12</v>
      </c>
      <c r="D143" s="2" t="s">
        <v>34</v>
      </c>
      <c r="E143" s="2">
        <v>26</v>
      </c>
      <c r="F143" s="2">
        <v>24</v>
      </c>
      <c r="G143" s="3">
        <f>Attendance_Table[[#This Row],[Present Days]]/Attendance_Table[[#This Row],[Working Days]]</f>
        <v>0.92307692307692313</v>
      </c>
      <c r="H143" t="str">
        <f>IF(Attendance_Table[[#This Row],[Attendance%]]&gt;=95%,"Excellent",
IF(Attendance_Table[[#This Row],[Attendance%]]&gt;=85%,"Good",
IF(Attendance_Table[[#This Row],[Attendance%]]&gt;=75%,"Average","Poor")))</f>
        <v>Good</v>
      </c>
    </row>
    <row r="144" spans="1:8" x14ac:dyDescent="0.3">
      <c r="A144" s="2" t="s">
        <v>13</v>
      </c>
      <c r="B144" s="2" t="s">
        <v>14</v>
      </c>
      <c r="C144" s="2" t="s">
        <v>15</v>
      </c>
      <c r="D144" s="2" t="s">
        <v>34</v>
      </c>
      <c r="E144" s="2">
        <v>26</v>
      </c>
      <c r="F144" s="2">
        <v>26</v>
      </c>
      <c r="G144" s="3">
        <f>Attendance_Table[[#This Row],[Present Days]]/Attendance_Table[[#This Row],[Working Days]]</f>
        <v>1</v>
      </c>
      <c r="H144" t="str">
        <f>IF(Attendance_Table[[#This Row],[Attendance%]]&gt;=95%,"Excellent",
IF(Attendance_Table[[#This Row],[Attendance%]]&gt;=85%,"Good",
IF(Attendance_Table[[#This Row],[Attendance%]]&gt;=75%,"Average","Poor")))</f>
        <v>Excellent</v>
      </c>
    </row>
    <row r="145" spans="1:8" x14ac:dyDescent="0.3">
      <c r="A145" s="2" t="s">
        <v>16</v>
      </c>
      <c r="B145" s="2" t="s">
        <v>17</v>
      </c>
      <c r="C145" s="2" t="s">
        <v>18</v>
      </c>
      <c r="D145" s="2" t="s">
        <v>34</v>
      </c>
      <c r="E145" s="2">
        <v>26</v>
      </c>
      <c r="F145" s="2">
        <v>23</v>
      </c>
      <c r="G145" s="3">
        <f>Attendance_Table[[#This Row],[Present Days]]/Attendance_Table[[#This Row],[Working Days]]</f>
        <v>0.88461538461538458</v>
      </c>
      <c r="H145" t="str">
        <f>IF(Attendance_Table[[#This Row],[Attendance%]]&gt;=95%,"Excellent",
IF(Attendance_Table[[#This Row],[Attendance%]]&gt;=85%,"Good",
IF(Attendance_Table[[#This Row],[Attendance%]]&gt;=75%,"Average","Poor")))</f>
        <v>Good</v>
      </c>
    </row>
    <row r="146" spans="1:8" x14ac:dyDescent="0.3">
      <c r="A146" s="2" t="s">
        <v>19</v>
      </c>
      <c r="B146" s="2" t="s">
        <v>20</v>
      </c>
      <c r="C146" s="2" t="s">
        <v>8</v>
      </c>
      <c r="D146" s="2" t="s">
        <v>34</v>
      </c>
      <c r="E146" s="2">
        <v>26</v>
      </c>
      <c r="F146" s="2">
        <v>22</v>
      </c>
      <c r="G146" s="3">
        <f>Attendance_Table[[#This Row],[Present Days]]/Attendance_Table[[#This Row],[Working Days]]</f>
        <v>0.84615384615384615</v>
      </c>
      <c r="H146" t="str">
        <f>IF(Attendance_Table[[#This Row],[Attendance%]]&gt;=95%,"Excellent",
IF(Attendance_Table[[#This Row],[Attendance%]]&gt;=85%,"Good",
IF(Attendance_Table[[#This Row],[Attendance%]]&gt;=75%,"Average","Poor")))</f>
        <v>Average</v>
      </c>
    </row>
    <row r="147" spans="1:8" x14ac:dyDescent="0.3">
      <c r="A147" s="2" t="s">
        <v>21</v>
      </c>
      <c r="B147" s="2" t="s">
        <v>22</v>
      </c>
      <c r="C147" s="2" t="s">
        <v>12</v>
      </c>
      <c r="D147" s="2" t="s">
        <v>34</v>
      </c>
      <c r="E147" s="2">
        <v>26</v>
      </c>
      <c r="F147" s="2">
        <v>25</v>
      </c>
      <c r="G147" s="3">
        <f>Attendance_Table[[#This Row],[Present Days]]/Attendance_Table[[#This Row],[Working Days]]</f>
        <v>0.96153846153846156</v>
      </c>
      <c r="H147" t="str">
        <f>IF(Attendance_Table[[#This Row],[Attendance%]]&gt;=95%,"Excellent",
IF(Attendance_Table[[#This Row],[Attendance%]]&gt;=85%,"Good",
IF(Attendance_Table[[#This Row],[Attendance%]]&gt;=75%,"Average","Poor")))</f>
        <v>Excellent</v>
      </c>
    </row>
    <row r="148" spans="1:8" x14ac:dyDescent="0.3">
      <c r="A148" s="2" t="s">
        <v>23</v>
      </c>
      <c r="B148" s="2" t="s">
        <v>24</v>
      </c>
      <c r="C148" s="2" t="s">
        <v>15</v>
      </c>
      <c r="D148" s="2" t="s">
        <v>34</v>
      </c>
      <c r="E148" s="2">
        <v>26</v>
      </c>
      <c r="F148" s="2">
        <v>24</v>
      </c>
      <c r="G148" s="3">
        <f>Attendance_Table[[#This Row],[Present Days]]/Attendance_Table[[#This Row],[Working Days]]</f>
        <v>0.92307692307692313</v>
      </c>
      <c r="H148" t="str">
        <f>IF(Attendance_Table[[#This Row],[Attendance%]]&gt;=95%,"Excellent",
IF(Attendance_Table[[#This Row],[Attendance%]]&gt;=85%,"Good",
IF(Attendance_Table[[#This Row],[Attendance%]]&gt;=75%,"Average","Poor")))</f>
        <v>Good</v>
      </c>
    </row>
    <row r="149" spans="1:8" x14ac:dyDescent="0.3">
      <c r="A149" s="2" t="s">
        <v>25</v>
      </c>
      <c r="B149" s="2" t="s">
        <v>26</v>
      </c>
      <c r="C149" s="2" t="s">
        <v>18</v>
      </c>
      <c r="D149" s="2" t="s">
        <v>34</v>
      </c>
      <c r="E149" s="2">
        <v>26</v>
      </c>
      <c r="F149" s="2">
        <v>26</v>
      </c>
      <c r="G149" s="3">
        <f>Attendance_Table[[#This Row],[Present Days]]/Attendance_Table[[#This Row],[Working Days]]</f>
        <v>1</v>
      </c>
      <c r="H149" t="str">
        <f>IF(Attendance_Table[[#This Row],[Attendance%]]&gt;=95%,"Excellent",
IF(Attendance_Table[[#This Row],[Attendance%]]&gt;=85%,"Good",
IF(Attendance_Table[[#This Row],[Attendance%]]&gt;=75%,"Average","Poor")))</f>
        <v>Excellent</v>
      </c>
    </row>
    <row r="150" spans="1:8" x14ac:dyDescent="0.3">
      <c r="A150" s="2" t="s">
        <v>27</v>
      </c>
      <c r="B150" s="2" t="s">
        <v>28</v>
      </c>
      <c r="C150" s="2" t="s">
        <v>8</v>
      </c>
      <c r="D150" s="2" t="s">
        <v>34</v>
      </c>
      <c r="E150" s="2">
        <v>26</v>
      </c>
      <c r="F150" s="2">
        <v>21</v>
      </c>
      <c r="G150" s="3">
        <f>Attendance_Table[[#This Row],[Present Days]]/Attendance_Table[[#This Row],[Working Days]]</f>
        <v>0.80769230769230771</v>
      </c>
      <c r="H150" t="str">
        <f>IF(Attendance_Table[[#This Row],[Attendance%]]&gt;=95%,"Excellent",
IF(Attendance_Table[[#This Row],[Attendance%]]&gt;=85%,"Good",
IF(Attendance_Table[[#This Row],[Attendance%]]&gt;=75%,"Average","Poor")))</f>
        <v>Average</v>
      </c>
    </row>
    <row r="151" spans="1:8" x14ac:dyDescent="0.3">
      <c r="A151" s="2" t="s">
        <v>29</v>
      </c>
      <c r="B151" s="2" t="s">
        <v>30</v>
      </c>
      <c r="C151" s="2" t="s">
        <v>12</v>
      </c>
      <c r="D151" s="2" t="s">
        <v>34</v>
      </c>
      <c r="E151" s="2">
        <v>26</v>
      </c>
      <c r="F151" s="2">
        <v>25</v>
      </c>
      <c r="G151" s="3">
        <f>Attendance_Table[[#This Row],[Present Days]]/Attendance_Table[[#This Row],[Working Days]]</f>
        <v>0.96153846153846156</v>
      </c>
      <c r="H151" t="str">
        <f>IF(Attendance_Table[[#This Row],[Attendance%]]&gt;=95%,"Excellent",
IF(Attendance_Table[[#This Row],[Attendance%]]&gt;=85%,"Good",
IF(Attendance_Table[[#This Row],[Attendance%]]&gt;=75%,"Average","Poor")))</f>
        <v>Excellent</v>
      </c>
    </row>
    <row r="152" spans="1:8" x14ac:dyDescent="0.3">
      <c r="A152" s="2" t="s">
        <v>6</v>
      </c>
      <c r="B152" s="2" t="s">
        <v>7</v>
      </c>
      <c r="C152" s="2" t="s">
        <v>8</v>
      </c>
      <c r="D152" s="2" t="s">
        <v>9</v>
      </c>
      <c r="E152" s="2">
        <v>26</v>
      </c>
      <c r="F152" s="2">
        <v>25</v>
      </c>
      <c r="G152" s="3">
        <f>Attendance_Table[[#This Row],[Present Days]]/Attendance_Table[[#This Row],[Working Days]]</f>
        <v>0.96153846153846156</v>
      </c>
      <c r="H152" t="str">
        <f>IF(Attendance_Table[[#This Row],[Attendance%]]&gt;=95%,"Excellent",
IF(Attendance_Table[[#This Row],[Attendance%]]&gt;=85%,"Good",
IF(Attendance_Table[[#This Row],[Attendance%]]&gt;=75%,"Average","Poor")))</f>
        <v>Excellent</v>
      </c>
    </row>
    <row r="153" spans="1:8" x14ac:dyDescent="0.3">
      <c r="A153" s="2" t="s">
        <v>10</v>
      </c>
      <c r="B153" s="2" t="s">
        <v>11</v>
      </c>
      <c r="C153" s="2" t="s">
        <v>12</v>
      </c>
      <c r="D153" s="2" t="s">
        <v>9</v>
      </c>
      <c r="E153" s="2">
        <v>26</v>
      </c>
      <c r="F153" s="2">
        <v>24</v>
      </c>
      <c r="G153" s="3">
        <f>Attendance_Table[[#This Row],[Present Days]]/Attendance_Table[[#This Row],[Working Days]]</f>
        <v>0.92307692307692313</v>
      </c>
      <c r="H153" t="str">
        <f>IF(Attendance_Table[[#This Row],[Attendance%]]&gt;=95%,"Excellent",
IF(Attendance_Table[[#This Row],[Attendance%]]&gt;=85%,"Good",
IF(Attendance_Table[[#This Row],[Attendance%]]&gt;=75%,"Average","Poor")))</f>
        <v>Good</v>
      </c>
    </row>
    <row r="154" spans="1:8" x14ac:dyDescent="0.3">
      <c r="A154" s="2" t="s">
        <v>13</v>
      </c>
      <c r="B154" s="2" t="s">
        <v>14</v>
      </c>
      <c r="C154" s="2" t="s">
        <v>15</v>
      </c>
      <c r="D154" s="2" t="s">
        <v>9</v>
      </c>
      <c r="E154" s="2">
        <v>26</v>
      </c>
      <c r="F154" s="2">
        <v>26</v>
      </c>
      <c r="G154" s="3">
        <f>Attendance_Table[[#This Row],[Present Days]]/Attendance_Table[[#This Row],[Working Days]]</f>
        <v>1</v>
      </c>
      <c r="H154" t="str">
        <f>IF(Attendance_Table[[#This Row],[Attendance%]]&gt;=95%,"Excellent",
IF(Attendance_Table[[#This Row],[Attendance%]]&gt;=85%,"Good",
IF(Attendance_Table[[#This Row],[Attendance%]]&gt;=75%,"Average","Poor")))</f>
        <v>Excellent</v>
      </c>
    </row>
    <row r="155" spans="1:8" x14ac:dyDescent="0.3">
      <c r="A155" s="2" t="s">
        <v>16</v>
      </c>
      <c r="B155" s="2" t="s">
        <v>17</v>
      </c>
      <c r="C155" s="2" t="s">
        <v>18</v>
      </c>
      <c r="D155" s="2" t="s">
        <v>9</v>
      </c>
      <c r="E155" s="2">
        <v>26</v>
      </c>
      <c r="F155" s="2">
        <v>23</v>
      </c>
      <c r="G155" s="3">
        <f>Attendance_Table[[#This Row],[Present Days]]/Attendance_Table[[#This Row],[Working Days]]</f>
        <v>0.88461538461538458</v>
      </c>
      <c r="H155" t="str">
        <f>IF(Attendance_Table[[#This Row],[Attendance%]]&gt;=95%,"Excellent",
IF(Attendance_Table[[#This Row],[Attendance%]]&gt;=85%,"Good",
IF(Attendance_Table[[#This Row],[Attendance%]]&gt;=75%,"Average","Poor")))</f>
        <v>Good</v>
      </c>
    </row>
    <row r="156" spans="1:8" x14ac:dyDescent="0.3">
      <c r="A156" s="2" t="s">
        <v>19</v>
      </c>
      <c r="B156" s="2" t="s">
        <v>20</v>
      </c>
      <c r="C156" s="2" t="s">
        <v>8</v>
      </c>
      <c r="D156" s="2" t="s">
        <v>9</v>
      </c>
      <c r="E156" s="2">
        <v>26</v>
      </c>
      <c r="F156" s="2">
        <v>22</v>
      </c>
      <c r="G156" s="3">
        <f>Attendance_Table[[#This Row],[Present Days]]/Attendance_Table[[#This Row],[Working Days]]</f>
        <v>0.84615384615384615</v>
      </c>
      <c r="H156" t="str">
        <f>IF(Attendance_Table[[#This Row],[Attendance%]]&gt;=95%,"Excellent",
IF(Attendance_Table[[#This Row],[Attendance%]]&gt;=85%,"Good",
IF(Attendance_Table[[#This Row],[Attendance%]]&gt;=75%,"Average","Poor")))</f>
        <v>Average</v>
      </c>
    </row>
    <row r="157" spans="1:8" x14ac:dyDescent="0.3">
      <c r="A157" s="2" t="s">
        <v>21</v>
      </c>
      <c r="B157" s="2" t="s">
        <v>22</v>
      </c>
      <c r="C157" s="2" t="s">
        <v>12</v>
      </c>
      <c r="D157" s="2" t="s">
        <v>9</v>
      </c>
      <c r="E157" s="2">
        <v>26</v>
      </c>
      <c r="F157" s="2">
        <v>25</v>
      </c>
      <c r="G157" s="3">
        <f>Attendance_Table[[#This Row],[Present Days]]/Attendance_Table[[#This Row],[Working Days]]</f>
        <v>0.96153846153846156</v>
      </c>
      <c r="H157" t="str">
        <f>IF(Attendance_Table[[#This Row],[Attendance%]]&gt;=95%,"Excellent",
IF(Attendance_Table[[#This Row],[Attendance%]]&gt;=85%,"Good",
IF(Attendance_Table[[#This Row],[Attendance%]]&gt;=75%,"Average","Poor")))</f>
        <v>Excellent</v>
      </c>
    </row>
    <row r="158" spans="1:8" x14ac:dyDescent="0.3">
      <c r="A158" s="2" t="s">
        <v>23</v>
      </c>
      <c r="B158" s="2" t="s">
        <v>24</v>
      </c>
      <c r="C158" s="2" t="s">
        <v>15</v>
      </c>
      <c r="D158" s="2" t="s">
        <v>9</v>
      </c>
      <c r="E158" s="2">
        <v>26</v>
      </c>
      <c r="F158" s="2">
        <v>24</v>
      </c>
      <c r="G158" s="3">
        <f>Attendance_Table[[#This Row],[Present Days]]/Attendance_Table[[#This Row],[Working Days]]</f>
        <v>0.92307692307692313</v>
      </c>
      <c r="H158" t="str">
        <f>IF(Attendance_Table[[#This Row],[Attendance%]]&gt;=95%,"Excellent",
IF(Attendance_Table[[#This Row],[Attendance%]]&gt;=85%,"Good",
IF(Attendance_Table[[#This Row],[Attendance%]]&gt;=75%,"Average","Poor")))</f>
        <v>Good</v>
      </c>
    </row>
    <row r="159" spans="1:8" x14ac:dyDescent="0.3">
      <c r="A159" s="2" t="s">
        <v>25</v>
      </c>
      <c r="B159" s="2" t="s">
        <v>26</v>
      </c>
      <c r="C159" s="2" t="s">
        <v>18</v>
      </c>
      <c r="D159" s="2" t="s">
        <v>9</v>
      </c>
      <c r="E159" s="2">
        <v>26</v>
      </c>
      <c r="F159" s="2">
        <v>26</v>
      </c>
      <c r="G159" s="3">
        <f>Attendance_Table[[#This Row],[Present Days]]/Attendance_Table[[#This Row],[Working Days]]</f>
        <v>1</v>
      </c>
      <c r="H159" t="str">
        <f>IF(Attendance_Table[[#This Row],[Attendance%]]&gt;=95%,"Excellent",
IF(Attendance_Table[[#This Row],[Attendance%]]&gt;=85%,"Good",
IF(Attendance_Table[[#This Row],[Attendance%]]&gt;=75%,"Average","Poor")))</f>
        <v>Excellent</v>
      </c>
    </row>
    <row r="160" spans="1:8" x14ac:dyDescent="0.3">
      <c r="A160" s="2" t="s">
        <v>27</v>
      </c>
      <c r="B160" s="2" t="s">
        <v>28</v>
      </c>
      <c r="C160" s="2" t="s">
        <v>8</v>
      </c>
      <c r="D160" s="2" t="s">
        <v>9</v>
      </c>
      <c r="E160" s="2">
        <v>26</v>
      </c>
      <c r="F160" s="2">
        <v>21</v>
      </c>
      <c r="G160" s="3">
        <f>Attendance_Table[[#This Row],[Present Days]]/Attendance_Table[[#This Row],[Working Days]]</f>
        <v>0.80769230769230771</v>
      </c>
      <c r="H160" t="str">
        <f>IF(Attendance_Table[[#This Row],[Attendance%]]&gt;=95%,"Excellent",
IF(Attendance_Table[[#This Row],[Attendance%]]&gt;=85%,"Good",
IF(Attendance_Table[[#This Row],[Attendance%]]&gt;=75%,"Average","Poor")))</f>
        <v>Average</v>
      </c>
    </row>
    <row r="161" spans="1:8" x14ac:dyDescent="0.3">
      <c r="A161" s="2" t="s">
        <v>29</v>
      </c>
      <c r="B161" s="2" t="s">
        <v>30</v>
      </c>
      <c r="C161" s="2" t="s">
        <v>12</v>
      </c>
      <c r="D161" s="2" t="s">
        <v>9</v>
      </c>
      <c r="E161" s="2">
        <v>26</v>
      </c>
      <c r="F161" s="2">
        <v>25</v>
      </c>
      <c r="G161" s="3">
        <f>Attendance_Table[[#This Row],[Present Days]]/Attendance_Table[[#This Row],[Working Days]]</f>
        <v>0.96153846153846156</v>
      </c>
      <c r="H161" t="str">
        <f>IF(Attendance_Table[[#This Row],[Attendance%]]&gt;=95%,"Excellent",
IF(Attendance_Table[[#This Row],[Attendance%]]&gt;=85%,"Good",
IF(Attendance_Table[[#This Row],[Attendance%]]&gt;=75%,"Average","Poor")))</f>
        <v>Excellent</v>
      </c>
    </row>
    <row r="162" spans="1:8" x14ac:dyDescent="0.3">
      <c r="A162" s="2" t="s">
        <v>6</v>
      </c>
      <c r="B162" s="2" t="s">
        <v>7</v>
      </c>
      <c r="C162" s="2" t="s">
        <v>8</v>
      </c>
      <c r="D162" s="2" t="s">
        <v>31</v>
      </c>
      <c r="E162" s="2">
        <v>24</v>
      </c>
      <c r="F162" s="2">
        <v>23</v>
      </c>
      <c r="G162" s="3">
        <f>Attendance_Table[[#This Row],[Present Days]]/Attendance_Table[[#This Row],[Working Days]]</f>
        <v>0.95833333333333337</v>
      </c>
      <c r="H162" t="str">
        <f>IF(Attendance_Table[[#This Row],[Attendance%]]&gt;=95%,"Excellent",
IF(Attendance_Table[[#This Row],[Attendance%]]&gt;=85%,"Good",
IF(Attendance_Table[[#This Row],[Attendance%]]&gt;=75%,"Average","Poor")))</f>
        <v>Excellent</v>
      </c>
    </row>
    <row r="163" spans="1:8" x14ac:dyDescent="0.3">
      <c r="A163" s="2" t="s">
        <v>10</v>
      </c>
      <c r="B163" s="2" t="s">
        <v>11</v>
      </c>
      <c r="C163" s="2" t="s">
        <v>12</v>
      </c>
      <c r="D163" s="2" t="s">
        <v>31</v>
      </c>
      <c r="E163" s="2">
        <v>24</v>
      </c>
      <c r="F163" s="2">
        <v>22</v>
      </c>
      <c r="G163" s="3">
        <f>Attendance_Table[[#This Row],[Present Days]]/Attendance_Table[[#This Row],[Working Days]]</f>
        <v>0.91666666666666663</v>
      </c>
      <c r="H163" t="str">
        <f>IF(Attendance_Table[[#This Row],[Attendance%]]&gt;=95%,"Excellent",
IF(Attendance_Table[[#This Row],[Attendance%]]&gt;=85%,"Good",
IF(Attendance_Table[[#This Row],[Attendance%]]&gt;=75%,"Average","Poor")))</f>
        <v>Good</v>
      </c>
    </row>
    <row r="164" spans="1:8" x14ac:dyDescent="0.3">
      <c r="A164" s="2" t="s">
        <v>13</v>
      </c>
      <c r="B164" s="2" t="s">
        <v>14</v>
      </c>
      <c r="C164" s="2" t="s">
        <v>15</v>
      </c>
      <c r="D164" s="2" t="s">
        <v>31</v>
      </c>
      <c r="E164" s="2">
        <v>24</v>
      </c>
      <c r="F164" s="2">
        <v>24</v>
      </c>
      <c r="G164" s="3">
        <f>Attendance_Table[[#This Row],[Present Days]]/Attendance_Table[[#This Row],[Working Days]]</f>
        <v>1</v>
      </c>
      <c r="H164" t="str">
        <f>IF(Attendance_Table[[#This Row],[Attendance%]]&gt;=95%,"Excellent",
IF(Attendance_Table[[#This Row],[Attendance%]]&gt;=85%,"Good",
IF(Attendance_Table[[#This Row],[Attendance%]]&gt;=75%,"Average","Poor")))</f>
        <v>Excellent</v>
      </c>
    </row>
    <row r="165" spans="1:8" x14ac:dyDescent="0.3">
      <c r="A165" s="2" t="s">
        <v>16</v>
      </c>
      <c r="B165" s="2" t="s">
        <v>17</v>
      </c>
      <c r="C165" s="2" t="s">
        <v>18</v>
      </c>
      <c r="D165" s="2" t="s">
        <v>31</v>
      </c>
      <c r="E165" s="2">
        <v>24</v>
      </c>
      <c r="F165" s="2">
        <v>21</v>
      </c>
      <c r="G165" s="3">
        <f>Attendance_Table[[#This Row],[Present Days]]/Attendance_Table[[#This Row],[Working Days]]</f>
        <v>0.875</v>
      </c>
      <c r="H165" t="str">
        <f>IF(Attendance_Table[[#This Row],[Attendance%]]&gt;=95%,"Excellent",
IF(Attendance_Table[[#This Row],[Attendance%]]&gt;=85%,"Good",
IF(Attendance_Table[[#This Row],[Attendance%]]&gt;=75%,"Average","Poor")))</f>
        <v>Good</v>
      </c>
    </row>
    <row r="166" spans="1:8" x14ac:dyDescent="0.3">
      <c r="A166" s="2" t="s">
        <v>19</v>
      </c>
      <c r="B166" s="2" t="s">
        <v>20</v>
      </c>
      <c r="C166" s="2" t="s">
        <v>8</v>
      </c>
      <c r="D166" s="2" t="s">
        <v>31</v>
      </c>
      <c r="E166" s="2">
        <v>24</v>
      </c>
      <c r="F166" s="2">
        <v>20</v>
      </c>
      <c r="G166" s="3">
        <f>Attendance_Table[[#This Row],[Present Days]]/Attendance_Table[[#This Row],[Working Days]]</f>
        <v>0.83333333333333337</v>
      </c>
      <c r="H166" t="str">
        <f>IF(Attendance_Table[[#This Row],[Attendance%]]&gt;=95%,"Excellent",
IF(Attendance_Table[[#This Row],[Attendance%]]&gt;=85%,"Good",
IF(Attendance_Table[[#This Row],[Attendance%]]&gt;=75%,"Average","Poor")))</f>
        <v>Average</v>
      </c>
    </row>
    <row r="167" spans="1:8" x14ac:dyDescent="0.3">
      <c r="A167" s="2" t="s">
        <v>21</v>
      </c>
      <c r="B167" s="2" t="s">
        <v>22</v>
      </c>
      <c r="C167" s="2" t="s">
        <v>12</v>
      </c>
      <c r="D167" s="2" t="s">
        <v>31</v>
      </c>
      <c r="E167" s="2">
        <v>24</v>
      </c>
      <c r="F167" s="2">
        <v>24</v>
      </c>
      <c r="G167" s="3">
        <f>Attendance_Table[[#This Row],[Present Days]]/Attendance_Table[[#This Row],[Working Days]]</f>
        <v>1</v>
      </c>
      <c r="H167" t="str">
        <f>IF(Attendance_Table[[#This Row],[Attendance%]]&gt;=95%,"Excellent",
IF(Attendance_Table[[#This Row],[Attendance%]]&gt;=85%,"Good",
IF(Attendance_Table[[#This Row],[Attendance%]]&gt;=75%,"Average","Poor")))</f>
        <v>Excellent</v>
      </c>
    </row>
    <row r="168" spans="1:8" x14ac:dyDescent="0.3">
      <c r="A168" s="2" t="s">
        <v>23</v>
      </c>
      <c r="B168" s="2" t="s">
        <v>24</v>
      </c>
      <c r="C168" s="2" t="s">
        <v>15</v>
      </c>
      <c r="D168" s="2" t="s">
        <v>31</v>
      </c>
      <c r="E168" s="2">
        <v>24</v>
      </c>
      <c r="F168" s="2">
        <v>23</v>
      </c>
      <c r="G168" s="3">
        <f>Attendance_Table[[#This Row],[Present Days]]/Attendance_Table[[#This Row],[Working Days]]</f>
        <v>0.95833333333333337</v>
      </c>
      <c r="H168" t="str">
        <f>IF(Attendance_Table[[#This Row],[Attendance%]]&gt;=95%,"Excellent",
IF(Attendance_Table[[#This Row],[Attendance%]]&gt;=85%,"Good",
IF(Attendance_Table[[#This Row],[Attendance%]]&gt;=75%,"Average","Poor")))</f>
        <v>Excellent</v>
      </c>
    </row>
    <row r="169" spans="1:8" x14ac:dyDescent="0.3">
      <c r="A169" s="2" t="s">
        <v>25</v>
      </c>
      <c r="B169" s="2" t="s">
        <v>26</v>
      </c>
      <c r="C169" s="2" t="s">
        <v>18</v>
      </c>
      <c r="D169" s="2" t="s">
        <v>31</v>
      </c>
      <c r="E169" s="2">
        <v>24</v>
      </c>
      <c r="F169" s="2">
        <v>24</v>
      </c>
      <c r="G169" s="3">
        <f>Attendance_Table[[#This Row],[Present Days]]/Attendance_Table[[#This Row],[Working Days]]</f>
        <v>1</v>
      </c>
      <c r="H169" t="str">
        <f>IF(Attendance_Table[[#This Row],[Attendance%]]&gt;=95%,"Excellent",
IF(Attendance_Table[[#This Row],[Attendance%]]&gt;=85%,"Good",
IF(Attendance_Table[[#This Row],[Attendance%]]&gt;=75%,"Average","Poor")))</f>
        <v>Excellent</v>
      </c>
    </row>
    <row r="170" spans="1:8" x14ac:dyDescent="0.3">
      <c r="A170" s="2" t="s">
        <v>27</v>
      </c>
      <c r="B170" s="2" t="s">
        <v>28</v>
      </c>
      <c r="C170" s="2" t="s">
        <v>8</v>
      </c>
      <c r="D170" s="2" t="s">
        <v>31</v>
      </c>
      <c r="E170" s="2">
        <v>24</v>
      </c>
      <c r="F170" s="2">
        <v>19</v>
      </c>
      <c r="G170" s="3">
        <f>Attendance_Table[[#This Row],[Present Days]]/Attendance_Table[[#This Row],[Working Days]]</f>
        <v>0.79166666666666663</v>
      </c>
      <c r="H170" t="str">
        <f>IF(Attendance_Table[[#This Row],[Attendance%]]&gt;=95%,"Excellent",
IF(Attendance_Table[[#This Row],[Attendance%]]&gt;=85%,"Good",
IF(Attendance_Table[[#This Row],[Attendance%]]&gt;=75%,"Average","Poor")))</f>
        <v>Average</v>
      </c>
    </row>
    <row r="171" spans="1:8" x14ac:dyDescent="0.3">
      <c r="A171" s="2" t="s">
        <v>29</v>
      </c>
      <c r="B171" s="2" t="s">
        <v>30</v>
      </c>
      <c r="C171" s="2" t="s">
        <v>12</v>
      </c>
      <c r="D171" s="2" t="s">
        <v>31</v>
      </c>
      <c r="E171" s="2">
        <v>24</v>
      </c>
      <c r="F171" s="2">
        <v>23</v>
      </c>
      <c r="G171" s="3">
        <f>Attendance_Table[[#This Row],[Present Days]]/Attendance_Table[[#This Row],[Working Days]]</f>
        <v>0.95833333333333337</v>
      </c>
      <c r="H171" t="str">
        <f>IF(Attendance_Table[[#This Row],[Attendance%]]&gt;=95%,"Excellent",
IF(Attendance_Table[[#This Row],[Attendance%]]&gt;=85%,"Good",
IF(Attendance_Table[[#This Row],[Attendance%]]&gt;=75%,"Average","Poor")))</f>
        <v>Excellent</v>
      </c>
    </row>
    <row r="172" spans="1:8" x14ac:dyDescent="0.3">
      <c r="A172" s="2" t="s">
        <v>6</v>
      </c>
      <c r="B172" s="2" t="s">
        <v>7</v>
      </c>
      <c r="C172" s="2" t="s">
        <v>8</v>
      </c>
      <c r="D172" s="2" t="s">
        <v>32</v>
      </c>
      <c r="E172" s="2">
        <v>26</v>
      </c>
      <c r="F172" s="2">
        <v>25</v>
      </c>
      <c r="G172" s="3">
        <f>Attendance_Table[[#This Row],[Present Days]]/Attendance_Table[[#This Row],[Working Days]]</f>
        <v>0.96153846153846156</v>
      </c>
      <c r="H172" t="str">
        <f>IF(Attendance_Table[[#This Row],[Attendance%]]&gt;=95%,"Excellent",
IF(Attendance_Table[[#This Row],[Attendance%]]&gt;=85%,"Good",
IF(Attendance_Table[[#This Row],[Attendance%]]&gt;=75%,"Average","Poor")))</f>
        <v>Excellent</v>
      </c>
    </row>
    <row r="173" spans="1:8" x14ac:dyDescent="0.3">
      <c r="A173" s="2" t="s">
        <v>10</v>
      </c>
      <c r="B173" s="2" t="s">
        <v>11</v>
      </c>
      <c r="C173" s="2" t="s">
        <v>12</v>
      </c>
      <c r="D173" s="2" t="s">
        <v>32</v>
      </c>
      <c r="E173" s="2">
        <v>26</v>
      </c>
      <c r="F173" s="2">
        <v>24</v>
      </c>
      <c r="G173" s="3">
        <f>Attendance_Table[[#This Row],[Present Days]]/Attendance_Table[[#This Row],[Working Days]]</f>
        <v>0.92307692307692313</v>
      </c>
      <c r="H173" t="str">
        <f>IF(Attendance_Table[[#This Row],[Attendance%]]&gt;=95%,"Excellent",
IF(Attendance_Table[[#This Row],[Attendance%]]&gt;=85%,"Good",
IF(Attendance_Table[[#This Row],[Attendance%]]&gt;=75%,"Average","Poor")))</f>
        <v>Good</v>
      </c>
    </row>
    <row r="174" spans="1:8" x14ac:dyDescent="0.3">
      <c r="A174" s="2" t="s">
        <v>13</v>
      </c>
      <c r="B174" s="2" t="s">
        <v>14</v>
      </c>
      <c r="C174" s="2" t="s">
        <v>15</v>
      </c>
      <c r="D174" s="2" t="s">
        <v>32</v>
      </c>
      <c r="E174" s="2">
        <v>26</v>
      </c>
      <c r="F174" s="2">
        <v>26</v>
      </c>
      <c r="G174" s="3">
        <f>Attendance_Table[[#This Row],[Present Days]]/Attendance_Table[[#This Row],[Working Days]]</f>
        <v>1</v>
      </c>
      <c r="H174" t="str">
        <f>IF(Attendance_Table[[#This Row],[Attendance%]]&gt;=95%,"Excellent",
IF(Attendance_Table[[#This Row],[Attendance%]]&gt;=85%,"Good",
IF(Attendance_Table[[#This Row],[Attendance%]]&gt;=75%,"Average","Poor")))</f>
        <v>Excellent</v>
      </c>
    </row>
    <row r="175" spans="1:8" x14ac:dyDescent="0.3">
      <c r="A175" s="2" t="s">
        <v>16</v>
      </c>
      <c r="B175" s="2" t="s">
        <v>17</v>
      </c>
      <c r="C175" s="2" t="s">
        <v>18</v>
      </c>
      <c r="D175" s="2" t="s">
        <v>32</v>
      </c>
      <c r="E175" s="2">
        <v>26</v>
      </c>
      <c r="F175" s="2">
        <v>22</v>
      </c>
      <c r="G175" s="3">
        <f>Attendance_Table[[#This Row],[Present Days]]/Attendance_Table[[#This Row],[Working Days]]</f>
        <v>0.84615384615384615</v>
      </c>
      <c r="H175" t="str">
        <f>IF(Attendance_Table[[#This Row],[Attendance%]]&gt;=95%,"Excellent",
IF(Attendance_Table[[#This Row],[Attendance%]]&gt;=85%,"Good",
IF(Attendance_Table[[#This Row],[Attendance%]]&gt;=75%,"Average","Poor")))</f>
        <v>Average</v>
      </c>
    </row>
    <row r="176" spans="1:8" x14ac:dyDescent="0.3">
      <c r="A176" s="2" t="s">
        <v>19</v>
      </c>
      <c r="B176" s="2" t="s">
        <v>20</v>
      </c>
      <c r="C176" s="2" t="s">
        <v>8</v>
      </c>
      <c r="D176" s="2" t="s">
        <v>32</v>
      </c>
      <c r="E176" s="2">
        <v>26</v>
      </c>
      <c r="F176" s="2">
        <v>23</v>
      </c>
      <c r="G176" s="3">
        <f>Attendance_Table[[#This Row],[Present Days]]/Attendance_Table[[#This Row],[Working Days]]</f>
        <v>0.88461538461538458</v>
      </c>
      <c r="H176" t="str">
        <f>IF(Attendance_Table[[#This Row],[Attendance%]]&gt;=95%,"Excellent",
IF(Attendance_Table[[#This Row],[Attendance%]]&gt;=85%,"Good",
IF(Attendance_Table[[#This Row],[Attendance%]]&gt;=75%,"Average","Poor")))</f>
        <v>Good</v>
      </c>
    </row>
    <row r="177" spans="1:8" x14ac:dyDescent="0.3">
      <c r="A177" s="2" t="s">
        <v>21</v>
      </c>
      <c r="B177" s="2" t="s">
        <v>22</v>
      </c>
      <c r="C177" s="2" t="s">
        <v>12</v>
      </c>
      <c r="D177" s="2" t="s">
        <v>32</v>
      </c>
      <c r="E177" s="2">
        <v>26</v>
      </c>
      <c r="F177" s="2">
        <v>25</v>
      </c>
      <c r="G177" s="3">
        <f>Attendance_Table[[#This Row],[Present Days]]/Attendance_Table[[#This Row],[Working Days]]</f>
        <v>0.96153846153846156</v>
      </c>
      <c r="H177" t="str">
        <f>IF(Attendance_Table[[#This Row],[Attendance%]]&gt;=95%,"Excellent",
IF(Attendance_Table[[#This Row],[Attendance%]]&gt;=85%,"Good",
IF(Attendance_Table[[#This Row],[Attendance%]]&gt;=75%,"Average","Poor")))</f>
        <v>Excellent</v>
      </c>
    </row>
    <row r="178" spans="1:8" x14ac:dyDescent="0.3">
      <c r="A178" s="2" t="s">
        <v>23</v>
      </c>
      <c r="B178" s="2" t="s">
        <v>24</v>
      </c>
      <c r="C178" s="2" t="s">
        <v>15</v>
      </c>
      <c r="D178" s="2" t="s">
        <v>32</v>
      </c>
      <c r="E178" s="2">
        <v>26</v>
      </c>
      <c r="F178" s="2">
        <v>24</v>
      </c>
      <c r="G178" s="3">
        <f>Attendance_Table[[#This Row],[Present Days]]/Attendance_Table[[#This Row],[Working Days]]</f>
        <v>0.92307692307692313</v>
      </c>
      <c r="H178" t="str">
        <f>IF(Attendance_Table[[#This Row],[Attendance%]]&gt;=95%,"Excellent",
IF(Attendance_Table[[#This Row],[Attendance%]]&gt;=85%,"Good",
IF(Attendance_Table[[#This Row],[Attendance%]]&gt;=75%,"Average","Poor")))</f>
        <v>Good</v>
      </c>
    </row>
    <row r="179" spans="1:8" x14ac:dyDescent="0.3">
      <c r="A179" s="2" t="s">
        <v>25</v>
      </c>
      <c r="B179" s="2" t="s">
        <v>26</v>
      </c>
      <c r="C179" s="2" t="s">
        <v>18</v>
      </c>
      <c r="D179" s="2" t="s">
        <v>32</v>
      </c>
      <c r="E179" s="2">
        <v>26</v>
      </c>
      <c r="F179" s="2">
        <v>26</v>
      </c>
      <c r="G179" s="3">
        <f>Attendance_Table[[#This Row],[Present Days]]/Attendance_Table[[#This Row],[Working Days]]</f>
        <v>1</v>
      </c>
      <c r="H179" t="str">
        <f>IF(Attendance_Table[[#This Row],[Attendance%]]&gt;=95%,"Excellent",
IF(Attendance_Table[[#This Row],[Attendance%]]&gt;=85%,"Good",
IF(Attendance_Table[[#This Row],[Attendance%]]&gt;=75%,"Average","Poor")))</f>
        <v>Excellent</v>
      </c>
    </row>
    <row r="180" spans="1:8" x14ac:dyDescent="0.3">
      <c r="A180" s="2" t="s">
        <v>27</v>
      </c>
      <c r="B180" s="2" t="s">
        <v>28</v>
      </c>
      <c r="C180" s="2" t="s">
        <v>8</v>
      </c>
      <c r="D180" s="2" t="s">
        <v>32</v>
      </c>
      <c r="E180" s="2">
        <v>26</v>
      </c>
      <c r="F180" s="2">
        <v>21</v>
      </c>
      <c r="G180" s="3">
        <f>Attendance_Table[[#This Row],[Present Days]]/Attendance_Table[[#This Row],[Working Days]]</f>
        <v>0.80769230769230771</v>
      </c>
      <c r="H180" t="str">
        <f>IF(Attendance_Table[[#This Row],[Attendance%]]&gt;=95%,"Excellent",
IF(Attendance_Table[[#This Row],[Attendance%]]&gt;=85%,"Good",
IF(Attendance_Table[[#This Row],[Attendance%]]&gt;=75%,"Average","Poor")))</f>
        <v>Average</v>
      </c>
    </row>
    <row r="181" spans="1:8" x14ac:dyDescent="0.3">
      <c r="A181" s="2" t="s">
        <v>29</v>
      </c>
      <c r="B181" s="2" t="s">
        <v>30</v>
      </c>
      <c r="C181" s="2" t="s">
        <v>12</v>
      </c>
      <c r="D181" s="2" t="s">
        <v>32</v>
      </c>
      <c r="E181" s="2">
        <v>26</v>
      </c>
      <c r="F181" s="2">
        <v>25</v>
      </c>
      <c r="G181" s="3">
        <f>Attendance_Table[[#This Row],[Present Days]]/Attendance_Table[[#This Row],[Working Days]]</f>
        <v>0.96153846153846156</v>
      </c>
      <c r="H181" t="str">
        <f>IF(Attendance_Table[[#This Row],[Attendance%]]&gt;=95%,"Excellent",
IF(Attendance_Table[[#This Row],[Attendance%]]&gt;=85%,"Good",
IF(Attendance_Table[[#This Row],[Attendance%]]&gt;=75%,"Average","Poor")))</f>
        <v>Excellent</v>
      </c>
    </row>
    <row r="182" spans="1:8" x14ac:dyDescent="0.3">
      <c r="A182" s="2" t="s">
        <v>6</v>
      </c>
      <c r="B182" s="2" t="s">
        <v>7</v>
      </c>
      <c r="C182" s="2" t="s">
        <v>8</v>
      </c>
      <c r="D182" s="2" t="s">
        <v>33</v>
      </c>
      <c r="E182" s="2">
        <v>25</v>
      </c>
      <c r="F182" s="2">
        <v>24</v>
      </c>
      <c r="G182" s="3">
        <f>Attendance_Table[[#This Row],[Present Days]]/Attendance_Table[[#This Row],[Working Days]]</f>
        <v>0.96</v>
      </c>
      <c r="H182" t="str">
        <f>IF(Attendance_Table[[#This Row],[Attendance%]]&gt;=95%,"Excellent",
IF(Attendance_Table[[#This Row],[Attendance%]]&gt;=85%,"Good",
IF(Attendance_Table[[#This Row],[Attendance%]]&gt;=75%,"Average","Poor")))</f>
        <v>Excellent</v>
      </c>
    </row>
    <row r="183" spans="1:8" x14ac:dyDescent="0.3">
      <c r="A183" s="2" t="s">
        <v>10</v>
      </c>
      <c r="B183" s="2" t="s">
        <v>11</v>
      </c>
      <c r="C183" s="2" t="s">
        <v>12</v>
      </c>
      <c r="D183" s="2" t="s">
        <v>33</v>
      </c>
      <c r="E183" s="2">
        <v>25</v>
      </c>
      <c r="F183" s="2">
        <v>23</v>
      </c>
      <c r="G183" s="3">
        <f>Attendance_Table[[#This Row],[Present Days]]/Attendance_Table[[#This Row],[Working Days]]</f>
        <v>0.92</v>
      </c>
      <c r="H183" t="str">
        <f>IF(Attendance_Table[[#This Row],[Attendance%]]&gt;=95%,"Excellent",
IF(Attendance_Table[[#This Row],[Attendance%]]&gt;=85%,"Good",
IF(Attendance_Table[[#This Row],[Attendance%]]&gt;=75%,"Average","Poor")))</f>
        <v>Good</v>
      </c>
    </row>
    <row r="184" spans="1:8" x14ac:dyDescent="0.3">
      <c r="A184" s="2" t="s">
        <v>13</v>
      </c>
      <c r="B184" s="2" t="s">
        <v>14</v>
      </c>
      <c r="C184" s="2" t="s">
        <v>15</v>
      </c>
      <c r="D184" s="2" t="s">
        <v>33</v>
      </c>
      <c r="E184" s="2">
        <v>25</v>
      </c>
      <c r="F184" s="2">
        <v>25</v>
      </c>
      <c r="G184" s="3">
        <f>Attendance_Table[[#This Row],[Present Days]]/Attendance_Table[[#This Row],[Working Days]]</f>
        <v>1</v>
      </c>
      <c r="H184" t="str">
        <f>IF(Attendance_Table[[#This Row],[Attendance%]]&gt;=95%,"Excellent",
IF(Attendance_Table[[#This Row],[Attendance%]]&gt;=85%,"Good",
IF(Attendance_Table[[#This Row],[Attendance%]]&gt;=75%,"Average","Poor")))</f>
        <v>Excellent</v>
      </c>
    </row>
    <row r="185" spans="1:8" x14ac:dyDescent="0.3">
      <c r="A185" s="2" t="s">
        <v>16</v>
      </c>
      <c r="B185" s="2" t="s">
        <v>17</v>
      </c>
      <c r="C185" s="2" t="s">
        <v>18</v>
      </c>
      <c r="D185" s="2" t="s">
        <v>33</v>
      </c>
      <c r="E185" s="2">
        <v>25</v>
      </c>
      <c r="F185" s="2">
        <v>22</v>
      </c>
      <c r="G185" s="3">
        <f>Attendance_Table[[#This Row],[Present Days]]/Attendance_Table[[#This Row],[Working Days]]</f>
        <v>0.88</v>
      </c>
      <c r="H185" t="str">
        <f>IF(Attendance_Table[[#This Row],[Attendance%]]&gt;=95%,"Excellent",
IF(Attendance_Table[[#This Row],[Attendance%]]&gt;=85%,"Good",
IF(Attendance_Table[[#This Row],[Attendance%]]&gt;=75%,"Average","Poor")))</f>
        <v>Good</v>
      </c>
    </row>
    <row r="186" spans="1:8" x14ac:dyDescent="0.3">
      <c r="A186" s="2" t="s">
        <v>19</v>
      </c>
      <c r="B186" s="2" t="s">
        <v>20</v>
      </c>
      <c r="C186" s="2" t="s">
        <v>8</v>
      </c>
      <c r="D186" s="2" t="s">
        <v>33</v>
      </c>
      <c r="E186" s="2">
        <v>25</v>
      </c>
      <c r="F186" s="2">
        <v>21</v>
      </c>
      <c r="G186" s="3">
        <f>Attendance_Table[[#This Row],[Present Days]]/Attendance_Table[[#This Row],[Working Days]]</f>
        <v>0.84</v>
      </c>
      <c r="H186" t="str">
        <f>IF(Attendance_Table[[#This Row],[Attendance%]]&gt;=95%,"Excellent",
IF(Attendance_Table[[#This Row],[Attendance%]]&gt;=85%,"Good",
IF(Attendance_Table[[#This Row],[Attendance%]]&gt;=75%,"Average","Poor")))</f>
        <v>Average</v>
      </c>
    </row>
    <row r="187" spans="1:8" x14ac:dyDescent="0.3">
      <c r="A187" s="2" t="s">
        <v>21</v>
      </c>
      <c r="B187" s="2" t="s">
        <v>22</v>
      </c>
      <c r="C187" s="2" t="s">
        <v>12</v>
      </c>
      <c r="D187" s="2" t="s">
        <v>33</v>
      </c>
      <c r="E187" s="2">
        <v>25</v>
      </c>
      <c r="F187" s="2">
        <v>24</v>
      </c>
      <c r="G187" s="3">
        <f>Attendance_Table[[#This Row],[Present Days]]/Attendance_Table[[#This Row],[Working Days]]</f>
        <v>0.96</v>
      </c>
      <c r="H187" t="str">
        <f>IF(Attendance_Table[[#This Row],[Attendance%]]&gt;=95%,"Excellent",
IF(Attendance_Table[[#This Row],[Attendance%]]&gt;=85%,"Good",
IF(Attendance_Table[[#This Row],[Attendance%]]&gt;=75%,"Average","Poor")))</f>
        <v>Excellent</v>
      </c>
    </row>
    <row r="188" spans="1:8" x14ac:dyDescent="0.3">
      <c r="A188" s="2" t="s">
        <v>23</v>
      </c>
      <c r="B188" s="2" t="s">
        <v>24</v>
      </c>
      <c r="C188" s="2" t="s">
        <v>15</v>
      </c>
      <c r="D188" s="2" t="s">
        <v>33</v>
      </c>
      <c r="E188" s="2">
        <v>25</v>
      </c>
      <c r="F188" s="2">
        <v>23</v>
      </c>
      <c r="G188" s="3">
        <f>Attendance_Table[[#This Row],[Present Days]]/Attendance_Table[[#This Row],[Working Days]]</f>
        <v>0.92</v>
      </c>
      <c r="H188" t="str">
        <f>IF(Attendance_Table[[#This Row],[Attendance%]]&gt;=95%,"Excellent",
IF(Attendance_Table[[#This Row],[Attendance%]]&gt;=85%,"Good",
IF(Attendance_Table[[#This Row],[Attendance%]]&gt;=75%,"Average","Poor")))</f>
        <v>Good</v>
      </c>
    </row>
    <row r="189" spans="1:8" x14ac:dyDescent="0.3">
      <c r="A189" s="2" t="s">
        <v>25</v>
      </c>
      <c r="B189" s="2" t="s">
        <v>26</v>
      </c>
      <c r="C189" s="2" t="s">
        <v>18</v>
      </c>
      <c r="D189" s="2" t="s">
        <v>33</v>
      </c>
      <c r="E189" s="2">
        <v>25</v>
      </c>
      <c r="F189" s="2">
        <v>25</v>
      </c>
      <c r="G189" s="3">
        <f>Attendance_Table[[#This Row],[Present Days]]/Attendance_Table[[#This Row],[Working Days]]</f>
        <v>1</v>
      </c>
      <c r="H189" t="str">
        <f>IF(Attendance_Table[[#This Row],[Attendance%]]&gt;=95%,"Excellent",
IF(Attendance_Table[[#This Row],[Attendance%]]&gt;=85%,"Good",
IF(Attendance_Table[[#This Row],[Attendance%]]&gt;=75%,"Average","Poor")))</f>
        <v>Excellent</v>
      </c>
    </row>
    <row r="190" spans="1:8" x14ac:dyDescent="0.3">
      <c r="A190" s="2" t="s">
        <v>27</v>
      </c>
      <c r="B190" s="2" t="s">
        <v>28</v>
      </c>
      <c r="C190" s="2" t="s">
        <v>8</v>
      </c>
      <c r="D190" s="2" t="s">
        <v>33</v>
      </c>
      <c r="E190" s="2">
        <v>25</v>
      </c>
      <c r="F190" s="2">
        <v>20</v>
      </c>
      <c r="G190" s="3">
        <f>Attendance_Table[[#This Row],[Present Days]]/Attendance_Table[[#This Row],[Working Days]]</f>
        <v>0.8</v>
      </c>
      <c r="H190" t="str">
        <f>IF(Attendance_Table[[#This Row],[Attendance%]]&gt;=95%,"Excellent",
IF(Attendance_Table[[#This Row],[Attendance%]]&gt;=85%,"Good",
IF(Attendance_Table[[#This Row],[Attendance%]]&gt;=75%,"Average","Poor")))</f>
        <v>Average</v>
      </c>
    </row>
    <row r="191" spans="1:8" x14ac:dyDescent="0.3">
      <c r="A191" s="2" t="s">
        <v>29</v>
      </c>
      <c r="B191" s="2" t="s">
        <v>30</v>
      </c>
      <c r="C191" s="2" t="s">
        <v>12</v>
      </c>
      <c r="D191" s="2" t="s">
        <v>33</v>
      </c>
      <c r="E191" s="2">
        <v>25</v>
      </c>
      <c r="F191" s="2">
        <v>24</v>
      </c>
      <c r="G191" s="3">
        <f>Attendance_Table[[#This Row],[Present Days]]/Attendance_Table[[#This Row],[Working Days]]</f>
        <v>0.96</v>
      </c>
      <c r="H191" t="str">
        <f>IF(Attendance_Table[[#This Row],[Attendance%]]&gt;=95%,"Excellent",
IF(Attendance_Table[[#This Row],[Attendance%]]&gt;=85%,"Good",
IF(Attendance_Table[[#This Row],[Attendance%]]&gt;=75%,"Average","Poor")))</f>
        <v>Excellent</v>
      </c>
    </row>
    <row r="192" spans="1:8" x14ac:dyDescent="0.3">
      <c r="A192" s="2" t="s">
        <v>6</v>
      </c>
      <c r="B192" s="2" t="s">
        <v>7</v>
      </c>
      <c r="C192" s="2" t="s">
        <v>8</v>
      </c>
      <c r="D192" s="2" t="s">
        <v>34</v>
      </c>
      <c r="E192" s="2">
        <v>26</v>
      </c>
      <c r="F192" s="2">
        <v>25</v>
      </c>
      <c r="G192" s="3">
        <f>Attendance_Table[[#This Row],[Present Days]]/Attendance_Table[[#This Row],[Working Days]]</f>
        <v>0.96153846153846156</v>
      </c>
      <c r="H192" t="str">
        <f>IF(Attendance_Table[[#This Row],[Attendance%]]&gt;=95%,"Excellent",
IF(Attendance_Table[[#This Row],[Attendance%]]&gt;=85%,"Good",
IF(Attendance_Table[[#This Row],[Attendance%]]&gt;=75%,"Average","Poor")))</f>
        <v>Excellent</v>
      </c>
    </row>
    <row r="193" spans="1:8" x14ac:dyDescent="0.3">
      <c r="A193" s="2" t="s">
        <v>10</v>
      </c>
      <c r="B193" s="2" t="s">
        <v>11</v>
      </c>
      <c r="C193" s="2" t="s">
        <v>12</v>
      </c>
      <c r="D193" s="2" t="s">
        <v>34</v>
      </c>
      <c r="E193" s="2">
        <v>26</v>
      </c>
      <c r="F193" s="2">
        <v>24</v>
      </c>
      <c r="G193" s="3">
        <f>Attendance_Table[[#This Row],[Present Days]]/Attendance_Table[[#This Row],[Working Days]]</f>
        <v>0.92307692307692313</v>
      </c>
      <c r="H193" t="str">
        <f>IF(Attendance_Table[[#This Row],[Attendance%]]&gt;=95%,"Excellent",
IF(Attendance_Table[[#This Row],[Attendance%]]&gt;=85%,"Good",
IF(Attendance_Table[[#This Row],[Attendance%]]&gt;=75%,"Average","Poor")))</f>
        <v>Good</v>
      </c>
    </row>
    <row r="194" spans="1:8" x14ac:dyDescent="0.3">
      <c r="A194" s="2" t="s">
        <v>13</v>
      </c>
      <c r="B194" s="2" t="s">
        <v>14</v>
      </c>
      <c r="C194" s="2" t="s">
        <v>15</v>
      </c>
      <c r="D194" s="2" t="s">
        <v>34</v>
      </c>
      <c r="E194" s="2">
        <v>26</v>
      </c>
      <c r="F194" s="2">
        <v>26</v>
      </c>
      <c r="G194" s="3">
        <f>Attendance_Table[[#This Row],[Present Days]]/Attendance_Table[[#This Row],[Working Days]]</f>
        <v>1</v>
      </c>
      <c r="H194" t="str">
        <f>IF(Attendance_Table[[#This Row],[Attendance%]]&gt;=95%,"Excellent",
IF(Attendance_Table[[#This Row],[Attendance%]]&gt;=85%,"Good",
IF(Attendance_Table[[#This Row],[Attendance%]]&gt;=75%,"Average","Poor")))</f>
        <v>Excellent</v>
      </c>
    </row>
    <row r="195" spans="1:8" x14ac:dyDescent="0.3">
      <c r="A195" s="2" t="s">
        <v>16</v>
      </c>
      <c r="B195" s="2" t="s">
        <v>17</v>
      </c>
      <c r="C195" s="2" t="s">
        <v>18</v>
      </c>
      <c r="D195" s="2" t="s">
        <v>34</v>
      </c>
      <c r="E195" s="2">
        <v>26</v>
      </c>
      <c r="F195" s="2">
        <v>23</v>
      </c>
      <c r="G195" s="3">
        <f>Attendance_Table[[#This Row],[Present Days]]/Attendance_Table[[#This Row],[Working Days]]</f>
        <v>0.88461538461538458</v>
      </c>
      <c r="H195" t="str">
        <f>IF(Attendance_Table[[#This Row],[Attendance%]]&gt;=95%,"Excellent",
IF(Attendance_Table[[#This Row],[Attendance%]]&gt;=85%,"Good",
IF(Attendance_Table[[#This Row],[Attendance%]]&gt;=75%,"Average","Poor")))</f>
        <v>Good</v>
      </c>
    </row>
    <row r="196" spans="1:8" x14ac:dyDescent="0.3">
      <c r="A196" s="2" t="s">
        <v>19</v>
      </c>
      <c r="B196" s="2" t="s">
        <v>20</v>
      </c>
      <c r="C196" s="2" t="s">
        <v>8</v>
      </c>
      <c r="D196" s="2" t="s">
        <v>34</v>
      </c>
      <c r="E196" s="2">
        <v>26</v>
      </c>
      <c r="F196" s="2">
        <v>22</v>
      </c>
      <c r="G196" s="3">
        <f>Attendance_Table[[#This Row],[Present Days]]/Attendance_Table[[#This Row],[Working Days]]</f>
        <v>0.84615384615384615</v>
      </c>
      <c r="H196" t="str">
        <f>IF(Attendance_Table[[#This Row],[Attendance%]]&gt;=95%,"Excellent",
IF(Attendance_Table[[#This Row],[Attendance%]]&gt;=85%,"Good",
IF(Attendance_Table[[#This Row],[Attendance%]]&gt;=75%,"Average","Poor")))</f>
        <v>Average</v>
      </c>
    </row>
    <row r="197" spans="1:8" x14ac:dyDescent="0.3">
      <c r="A197" s="2" t="s">
        <v>21</v>
      </c>
      <c r="B197" s="2" t="s">
        <v>22</v>
      </c>
      <c r="C197" s="2" t="s">
        <v>12</v>
      </c>
      <c r="D197" s="2" t="s">
        <v>34</v>
      </c>
      <c r="E197" s="2">
        <v>26</v>
      </c>
      <c r="F197" s="2">
        <v>25</v>
      </c>
      <c r="G197" s="3">
        <f>Attendance_Table[[#This Row],[Present Days]]/Attendance_Table[[#This Row],[Working Days]]</f>
        <v>0.96153846153846156</v>
      </c>
      <c r="H197" t="str">
        <f>IF(Attendance_Table[[#This Row],[Attendance%]]&gt;=95%,"Excellent",
IF(Attendance_Table[[#This Row],[Attendance%]]&gt;=85%,"Good",
IF(Attendance_Table[[#This Row],[Attendance%]]&gt;=75%,"Average","Poor")))</f>
        <v>Excellent</v>
      </c>
    </row>
    <row r="198" spans="1:8" x14ac:dyDescent="0.3">
      <c r="A198" s="2" t="s">
        <v>23</v>
      </c>
      <c r="B198" s="2" t="s">
        <v>24</v>
      </c>
      <c r="C198" s="2" t="s">
        <v>15</v>
      </c>
      <c r="D198" s="2" t="s">
        <v>34</v>
      </c>
      <c r="E198" s="2">
        <v>26</v>
      </c>
      <c r="F198" s="2">
        <v>24</v>
      </c>
      <c r="G198" s="3">
        <f>Attendance_Table[[#This Row],[Present Days]]/Attendance_Table[[#This Row],[Working Days]]</f>
        <v>0.92307692307692313</v>
      </c>
      <c r="H198" t="str">
        <f>IF(Attendance_Table[[#This Row],[Attendance%]]&gt;=95%,"Excellent",
IF(Attendance_Table[[#This Row],[Attendance%]]&gt;=85%,"Good",
IF(Attendance_Table[[#This Row],[Attendance%]]&gt;=75%,"Average","Poor")))</f>
        <v>Good</v>
      </c>
    </row>
    <row r="199" spans="1:8" x14ac:dyDescent="0.3">
      <c r="A199" s="2" t="s">
        <v>25</v>
      </c>
      <c r="B199" s="2" t="s">
        <v>26</v>
      </c>
      <c r="C199" s="2" t="s">
        <v>18</v>
      </c>
      <c r="D199" s="2" t="s">
        <v>34</v>
      </c>
      <c r="E199" s="2">
        <v>26</v>
      </c>
      <c r="F199" s="2">
        <v>26</v>
      </c>
      <c r="G199" s="3">
        <f>Attendance_Table[[#This Row],[Present Days]]/Attendance_Table[[#This Row],[Working Days]]</f>
        <v>1</v>
      </c>
      <c r="H199" t="str">
        <f>IF(Attendance_Table[[#This Row],[Attendance%]]&gt;=95%,"Excellent",
IF(Attendance_Table[[#This Row],[Attendance%]]&gt;=85%,"Good",
IF(Attendance_Table[[#This Row],[Attendance%]]&gt;=75%,"Average","Poor")))</f>
        <v>Excellent</v>
      </c>
    </row>
    <row r="200" spans="1:8" x14ac:dyDescent="0.3">
      <c r="A200" s="2" t="s">
        <v>27</v>
      </c>
      <c r="B200" s="2" t="s">
        <v>28</v>
      </c>
      <c r="C200" s="2" t="s">
        <v>8</v>
      </c>
      <c r="D200" s="2" t="s">
        <v>34</v>
      </c>
      <c r="E200" s="2">
        <v>26</v>
      </c>
      <c r="F200" s="2">
        <v>21</v>
      </c>
      <c r="G200" s="3">
        <f>Attendance_Table[[#This Row],[Present Days]]/Attendance_Table[[#This Row],[Working Days]]</f>
        <v>0.80769230769230771</v>
      </c>
      <c r="H200" t="str">
        <f>IF(Attendance_Table[[#This Row],[Attendance%]]&gt;=95%,"Excellent",
IF(Attendance_Table[[#This Row],[Attendance%]]&gt;=85%,"Good",
IF(Attendance_Table[[#This Row],[Attendance%]]&gt;=75%,"Average","Poor")))</f>
        <v>Average</v>
      </c>
    </row>
    <row r="201" spans="1:8" x14ac:dyDescent="0.3">
      <c r="A201" s="2" t="s">
        <v>29</v>
      </c>
      <c r="B201" s="2" t="s">
        <v>30</v>
      </c>
      <c r="C201" s="2" t="s">
        <v>12</v>
      </c>
      <c r="D201" s="2" t="s">
        <v>34</v>
      </c>
      <c r="E201" s="2">
        <v>26</v>
      </c>
      <c r="F201" s="2">
        <v>25</v>
      </c>
      <c r="G201" s="3">
        <f>Attendance_Table[[#This Row],[Present Days]]/Attendance_Table[[#This Row],[Working Days]]</f>
        <v>0.96153846153846156</v>
      </c>
      <c r="H201" t="str">
        <f>IF(Attendance_Table[[#This Row],[Attendance%]]&gt;=95%,"Excellent",
IF(Attendance_Table[[#This Row],[Attendance%]]&gt;=85%,"Good",
IF(Attendance_Table[[#This Row],[Attendance%]]&gt;=75%,"Average","Poor")))</f>
        <v>Excellent</v>
      </c>
    </row>
  </sheetData>
  <conditionalFormatting sqref="H2:H201">
    <cfRule type="containsText" dxfId="4" priority="8" operator="containsText" text="&quot;Good&quot;">
      <formula>NOT(ISERROR(SEARCH("""Good""",H2)))</formula>
    </cfRule>
    <cfRule type="containsText" dxfId="3" priority="9" operator="containsText" text="&quot;Poor&quot;">
      <formula>NOT(ISERROR(SEARCH("""Poor""",H2)))</formula>
    </cfRule>
  </conditionalFormatting>
  <conditionalFormatting sqref="H1:H1048576">
    <cfRule type="containsText" dxfId="2" priority="5" operator="containsText" text="Excellent">
      <formula>NOT(ISERROR(SEARCH("Excellent",H1)))</formula>
    </cfRule>
    <cfRule type="containsText" dxfId="1" priority="6" operator="containsText" text="Good">
      <formula>NOT(ISERROR(SEARCH("Good",H1)))</formula>
    </cfRule>
    <cfRule type="containsText" dxfId="0" priority="7" operator="containsText" text="&quot;Good&quot;">
      <formula>NOT(ISERROR(SEARCH("""Good""",H1)))</formula>
    </cfRule>
  </conditionalFormatting>
  <conditionalFormatting sqref="G1:G201">
    <cfRule type="colorScale" priority="1">
      <colorScale>
        <cfvo type="min"/>
        <cfvo type="max"/>
        <color rgb="FFFF0000"/>
        <color rgb="FF00B050"/>
      </colorScale>
    </cfRule>
    <cfRule type="colorScale" priority="2">
      <colorScale>
        <cfvo type="min"/>
        <cfvo type="max"/>
        <color rgb="FFFF0000"/>
        <color rgb="FFFFEF9C"/>
      </colorScale>
    </cfRule>
    <cfRule type="colorScale" priority="3">
      <colorScale>
        <cfvo type="min"/>
        <cfvo type="max"/>
        <color rgb="FFFF7128"/>
        <color rgb="FF00B050"/>
      </colorScale>
    </cfRule>
    <cfRule type="colorScale" priority="4">
      <colorScale>
        <cfvo type="min"/>
        <cfvo type="max"/>
        <color rgb="FFFF0000"/>
        <color theme="9" tint="-0.499984740745262"/>
      </colorScale>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B6B7C-6C26-4535-8C78-5AA5F08B16E7}">
  <dimension ref="A1:W98"/>
  <sheetViews>
    <sheetView tabSelected="1" zoomScale="91" workbookViewId="0">
      <selection activeCell="G24" sqref="G24"/>
    </sheetView>
  </sheetViews>
  <sheetFormatPr defaultRowHeight="14.4" x14ac:dyDescent="0.3"/>
  <cols>
    <col min="3" max="3" width="15.109375" bestFit="1" customWidth="1"/>
    <col min="4" max="4" width="18.88671875" bestFit="1" customWidth="1"/>
    <col min="5" max="5" width="19" bestFit="1" customWidth="1"/>
  </cols>
  <sheetData>
    <row r="1" spans="1:23" x14ac:dyDescent="0.3">
      <c r="A1" s="4" t="s">
        <v>37</v>
      </c>
      <c r="B1" s="4"/>
      <c r="C1" s="4"/>
      <c r="D1" s="4"/>
      <c r="E1" s="4"/>
      <c r="F1" s="4"/>
      <c r="G1" s="4"/>
      <c r="H1" s="4"/>
      <c r="I1" s="4"/>
      <c r="J1" s="4"/>
      <c r="K1" s="4"/>
      <c r="L1" s="4"/>
      <c r="M1" s="4"/>
      <c r="N1" s="4"/>
      <c r="O1" s="4"/>
      <c r="P1" s="4"/>
      <c r="Q1" s="4"/>
      <c r="R1" s="4"/>
      <c r="S1" s="4"/>
      <c r="T1" s="4"/>
      <c r="U1" s="4"/>
      <c r="V1" s="4"/>
      <c r="W1" s="4"/>
    </row>
    <row r="2" spans="1:23" x14ac:dyDescent="0.3">
      <c r="A2" s="4"/>
      <c r="B2" s="4"/>
      <c r="C2" s="4"/>
      <c r="D2" s="4"/>
      <c r="E2" s="4"/>
      <c r="F2" s="4"/>
      <c r="G2" s="4"/>
      <c r="H2" s="4"/>
      <c r="I2" s="4"/>
      <c r="J2" s="4"/>
      <c r="K2" s="4"/>
      <c r="L2" s="4"/>
      <c r="M2" s="4"/>
      <c r="N2" s="4"/>
      <c r="O2" s="4"/>
      <c r="P2" s="4"/>
      <c r="Q2" s="4"/>
      <c r="R2" s="4"/>
      <c r="S2" s="4"/>
      <c r="T2" s="4"/>
      <c r="U2" s="4"/>
      <c r="V2" s="4"/>
      <c r="W2" s="4"/>
    </row>
    <row r="3" spans="1:23" ht="15" thickBot="1" x14ac:dyDescent="0.35">
      <c r="A3" s="5"/>
      <c r="B3" s="5"/>
      <c r="C3" s="5"/>
      <c r="D3" s="5"/>
      <c r="E3" s="5"/>
      <c r="F3" s="5"/>
      <c r="G3" s="5"/>
      <c r="H3" s="5"/>
      <c r="I3" s="5"/>
      <c r="J3" s="5"/>
      <c r="K3" s="5"/>
      <c r="L3" s="5"/>
      <c r="M3" s="5"/>
      <c r="N3" s="5"/>
      <c r="O3" s="5"/>
      <c r="P3" s="5"/>
      <c r="Q3" s="5"/>
      <c r="R3" s="5"/>
      <c r="S3" s="5"/>
      <c r="T3" s="5"/>
      <c r="U3" s="5"/>
      <c r="V3" s="5"/>
      <c r="W3" s="5"/>
    </row>
    <row r="4" spans="1:23" ht="46.8" x14ac:dyDescent="0.3">
      <c r="A4" s="5"/>
      <c r="B4" s="5"/>
      <c r="C4" s="6" t="s">
        <v>38</v>
      </c>
      <c r="D4" s="7" t="s">
        <v>39</v>
      </c>
      <c r="E4" s="7" t="s">
        <v>40</v>
      </c>
      <c r="F4" s="8" t="s">
        <v>41</v>
      </c>
      <c r="G4" s="5"/>
      <c r="H4" s="5"/>
      <c r="I4" s="5"/>
      <c r="J4" s="5"/>
      <c r="K4" s="5"/>
      <c r="L4" s="5"/>
      <c r="M4" s="5"/>
      <c r="N4" s="5"/>
      <c r="O4" s="5"/>
      <c r="P4" s="5"/>
      <c r="Q4" s="5"/>
      <c r="R4" s="5"/>
      <c r="S4" s="5"/>
      <c r="T4" s="5"/>
      <c r="U4" s="5"/>
      <c r="V4" s="5"/>
      <c r="W4" s="5"/>
    </row>
    <row r="5" spans="1:23" ht="16.2" thickBot="1" x14ac:dyDescent="0.35">
      <c r="A5" s="5"/>
      <c r="B5" s="5"/>
      <c r="C5" s="9">
        <f>COUNTA(_xlfn.UNIQUE(Attendance_Table[Employee ID]))</f>
        <v>10</v>
      </c>
      <c r="D5" s="10">
        <f>AVERAGE(Attendance_Table[Attendance%])</f>
        <v>0.92678717948717959</v>
      </c>
      <c r="E5" s="11">
        <f>COUNTIF(Attendance_Table[Performance Rating],"Excellent")</f>
        <v>104</v>
      </c>
      <c r="F5" s="12">
        <f>COUNTIF(Attendance_Table[Performance Rating],"Good")</f>
        <v>56</v>
      </c>
      <c r="G5" s="5"/>
      <c r="H5" s="5"/>
      <c r="I5" s="5"/>
      <c r="J5" s="5"/>
      <c r="K5" s="5"/>
      <c r="L5" s="5"/>
      <c r="M5" s="5"/>
      <c r="N5" s="5"/>
      <c r="O5" s="5"/>
      <c r="P5" s="5"/>
      <c r="Q5" s="5"/>
      <c r="R5" s="5"/>
      <c r="S5" s="5"/>
      <c r="T5" s="5"/>
      <c r="U5" s="5"/>
      <c r="V5" s="5"/>
      <c r="W5" s="5"/>
    </row>
    <row r="6" spans="1:23" x14ac:dyDescent="0.3">
      <c r="A6" s="5"/>
      <c r="B6" s="5"/>
      <c r="C6" s="5"/>
      <c r="D6" s="5"/>
      <c r="E6" s="5"/>
      <c r="F6" s="5"/>
      <c r="G6" s="5"/>
      <c r="H6" s="5"/>
      <c r="I6" s="5"/>
      <c r="J6" s="5"/>
      <c r="K6" s="5"/>
      <c r="L6" s="5"/>
      <c r="M6" s="5"/>
      <c r="N6" s="5"/>
      <c r="O6" s="5"/>
      <c r="P6" s="5"/>
      <c r="Q6" s="5"/>
      <c r="R6" s="5"/>
      <c r="S6" s="5"/>
      <c r="T6" s="5"/>
      <c r="U6" s="5"/>
      <c r="V6" s="5"/>
      <c r="W6" s="5"/>
    </row>
    <row r="7" spans="1:23" x14ac:dyDescent="0.3">
      <c r="A7" s="5"/>
      <c r="B7" s="5"/>
      <c r="C7" s="5"/>
      <c r="D7" s="5"/>
      <c r="E7" s="5"/>
      <c r="F7" s="5"/>
      <c r="G7" s="5"/>
      <c r="H7" s="5"/>
      <c r="I7" s="5"/>
      <c r="J7" s="5"/>
      <c r="K7" s="5"/>
      <c r="L7" s="5"/>
      <c r="M7" s="5"/>
      <c r="N7" s="5"/>
      <c r="O7" s="5"/>
      <c r="P7" s="5"/>
      <c r="Q7" s="5"/>
      <c r="R7" s="5"/>
      <c r="S7" s="5"/>
      <c r="T7" s="5"/>
      <c r="U7" s="5"/>
      <c r="V7" s="5"/>
      <c r="W7" s="5"/>
    </row>
    <row r="8" spans="1:23" x14ac:dyDescent="0.3">
      <c r="A8" s="5"/>
      <c r="B8" s="5"/>
      <c r="C8" s="5"/>
      <c r="D8" s="5"/>
      <c r="E8" s="5"/>
      <c r="F8" s="5"/>
      <c r="G8" s="5"/>
      <c r="H8" s="5"/>
      <c r="I8" s="5"/>
      <c r="J8" s="5"/>
      <c r="K8" s="5"/>
      <c r="L8" s="5"/>
      <c r="M8" s="5"/>
      <c r="N8" s="5"/>
      <c r="O8" s="5"/>
      <c r="P8" s="5"/>
      <c r="Q8" s="5"/>
      <c r="R8" s="5"/>
      <c r="S8" s="5"/>
      <c r="T8" s="5"/>
      <c r="U8" s="5"/>
      <c r="V8" s="5"/>
      <c r="W8" s="5"/>
    </row>
    <row r="9" spans="1:23" x14ac:dyDescent="0.3">
      <c r="A9" s="5"/>
      <c r="B9" s="5"/>
      <c r="C9" s="5"/>
      <c r="D9" s="5"/>
      <c r="E9" s="5"/>
      <c r="F9" s="5"/>
      <c r="G9" s="5"/>
      <c r="H9" s="5"/>
      <c r="I9" s="5"/>
      <c r="J9" s="5"/>
      <c r="K9" s="5"/>
      <c r="L9" s="5"/>
      <c r="M9" s="5"/>
      <c r="N9" s="5"/>
      <c r="O9" s="5"/>
      <c r="P9" s="5"/>
      <c r="Q9" s="5"/>
      <c r="R9" s="5"/>
      <c r="S9" s="5"/>
      <c r="T9" s="5"/>
      <c r="U9" s="5"/>
      <c r="V9" s="5"/>
      <c r="W9" s="5"/>
    </row>
    <row r="10" spans="1:23" x14ac:dyDescent="0.3">
      <c r="A10" s="5"/>
      <c r="B10" s="5"/>
      <c r="C10" s="5"/>
      <c r="D10" s="5"/>
      <c r="E10" s="5"/>
      <c r="F10" s="5"/>
      <c r="G10" s="5"/>
      <c r="H10" s="5"/>
      <c r="I10" s="5"/>
      <c r="J10" s="5"/>
      <c r="K10" s="5"/>
      <c r="L10" s="5"/>
      <c r="M10" s="5"/>
      <c r="N10" s="5"/>
      <c r="O10" s="5"/>
      <c r="P10" s="5"/>
      <c r="Q10" s="5"/>
      <c r="R10" s="5"/>
      <c r="S10" s="5"/>
      <c r="T10" s="5"/>
      <c r="U10" s="5"/>
      <c r="V10" s="5"/>
      <c r="W10" s="5"/>
    </row>
    <row r="11" spans="1:23" x14ac:dyDescent="0.3">
      <c r="A11" s="5"/>
      <c r="B11" s="5"/>
      <c r="C11" s="5"/>
      <c r="D11" s="5"/>
      <c r="E11" s="5"/>
      <c r="F11" s="5"/>
      <c r="G11" s="5"/>
      <c r="H11" s="5"/>
      <c r="I11" s="5"/>
      <c r="J11" s="5"/>
      <c r="K11" s="5"/>
      <c r="L11" s="5"/>
      <c r="M11" s="5"/>
      <c r="N11" s="5"/>
      <c r="O11" s="5"/>
      <c r="P11" s="5"/>
      <c r="Q11" s="5"/>
      <c r="R11" s="5"/>
      <c r="S11" s="5"/>
      <c r="T11" s="5"/>
      <c r="U11" s="5"/>
      <c r="V11" s="5"/>
      <c r="W11" s="5"/>
    </row>
    <row r="12" spans="1:23" x14ac:dyDescent="0.3">
      <c r="A12" s="5"/>
      <c r="B12" s="5"/>
      <c r="C12" s="5"/>
      <c r="D12" s="5"/>
      <c r="E12" s="5"/>
      <c r="F12" s="5"/>
      <c r="G12" s="5"/>
      <c r="H12" s="5"/>
      <c r="I12" s="5"/>
      <c r="J12" s="5"/>
      <c r="K12" s="5"/>
      <c r="L12" s="5"/>
      <c r="M12" s="5"/>
      <c r="N12" s="5"/>
      <c r="O12" s="5"/>
      <c r="P12" s="5"/>
      <c r="Q12" s="5"/>
      <c r="R12" s="5"/>
      <c r="S12" s="5"/>
      <c r="T12" s="5"/>
      <c r="U12" s="5"/>
      <c r="V12" s="5"/>
      <c r="W12" s="5"/>
    </row>
    <row r="13" spans="1:23" x14ac:dyDescent="0.3">
      <c r="A13" s="5"/>
      <c r="B13" s="5"/>
      <c r="C13" s="5"/>
      <c r="D13" s="5"/>
      <c r="E13" s="5"/>
      <c r="F13" s="5"/>
      <c r="G13" s="5"/>
      <c r="H13" s="5"/>
      <c r="I13" s="5"/>
      <c r="J13" s="5"/>
      <c r="K13" s="5"/>
      <c r="L13" s="5"/>
      <c r="M13" s="5"/>
      <c r="N13" s="5"/>
      <c r="O13" s="5"/>
      <c r="P13" s="5"/>
      <c r="Q13" s="5"/>
      <c r="R13" s="5"/>
      <c r="S13" s="5"/>
      <c r="T13" s="5"/>
      <c r="U13" s="5"/>
      <c r="V13" s="5"/>
      <c r="W13" s="5"/>
    </row>
    <row r="14" spans="1:23" x14ac:dyDescent="0.3">
      <c r="A14" s="5"/>
      <c r="B14" s="5"/>
      <c r="C14" s="5"/>
      <c r="D14" s="5"/>
      <c r="E14" s="5"/>
      <c r="F14" s="5"/>
      <c r="G14" s="5"/>
      <c r="H14" s="5"/>
      <c r="I14" s="5"/>
      <c r="J14" s="5"/>
      <c r="K14" s="5"/>
      <c r="L14" s="5"/>
      <c r="M14" s="5"/>
      <c r="N14" s="5"/>
      <c r="O14" s="5"/>
      <c r="P14" s="5"/>
      <c r="Q14" s="5"/>
      <c r="R14" s="5"/>
      <c r="S14" s="5"/>
      <c r="T14" s="5"/>
      <c r="U14" s="5"/>
      <c r="V14" s="5"/>
      <c r="W14" s="5"/>
    </row>
    <row r="15" spans="1:23" x14ac:dyDescent="0.3">
      <c r="A15" s="5"/>
      <c r="B15" s="5"/>
      <c r="C15" s="5"/>
      <c r="D15" s="5"/>
      <c r="E15" s="5"/>
      <c r="F15" s="5"/>
      <c r="G15" s="5"/>
      <c r="H15" s="5"/>
      <c r="I15" s="5"/>
      <c r="J15" s="5"/>
      <c r="K15" s="5"/>
      <c r="L15" s="5"/>
      <c r="M15" s="5"/>
      <c r="N15" s="5"/>
      <c r="O15" s="5"/>
      <c r="P15" s="5"/>
      <c r="Q15" s="5"/>
      <c r="R15" s="5"/>
      <c r="S15" s="5"/>
      <c r="T15" s="5"/>
      <c r="U15" s="5"/>
      <c r="V15" s="5"/>
      <c r="W15" s="5"/>
    </row>
    <row r="16" spans="1:23" x14ac:dyDescent="0.3">
      <c r="A16" s="5"/>
      <c r="B16" s="5"/>
      <c r="C16" s="5"/>
      <c r="D16" s="5"/>
      <c r="E16" s="5"/>
      <c r="F16" s="5"/>
      <c r="G16" s="5"/>
      <c r="H16" s="5"/>
      <c r="I16" s="5"/>
      <c r="J16" s="5"/>
      <c r="K16" s="5"/>
      <c r="L16" s="5"/>
      <c r="M16" s="5"/>
      <c r="N16" s="5"/>
      <c r="O16" s="5"/>
      <c r="P16" s="5"/>
      <c r="Q16" s="5"/>
      <c r="R16" s="5"/>
      <c r="S16" s="5"/>
      <c r="T16" s="5"/>
      <c r="U16" s="5"/>
      <c r="V16" s="5"/>
      <c r="W16" s="5"/>
    </row>
    <row r="17" spans="1:23" x14ac:dyDescent="0.3">
      <c r="A17" s="5"/>
      <c r="B17" s="5"/>
      <c r="C17" s="5"/>
      <c r="D17" s="5"/>
      <c r="E17" s="5"/>
      <c r="F17" s="5"/>
      <c r="G17" s="5"/>
      <c r="H17" s="5"/>
      <c r="I17" s="5"/>
      <c r="J17" s="5"/>
      <c r="K17" s="5"/>
      <c r="L17" s="5"/>
      <c r="M17" s="5"/>
      <c r="N17" s="5"/>
      <c r="O17" s="5"/>
      <c r="P17" s="5"/>
      <c r="Q17" s="5"/>
      <c r="R17" s="5"/>
      <c r="S17" s="5"/>
      <c r="T17" s="5"/>
      <c r="U17" s="5"/>
      <c r="V17" s="5"/>
      <c r="W17" s="5"/>
    </row>
    <row r="18" spans="1:23" x14ac:dyDescent="0.3">
      <c r="A18" s="5"/>
      <c r="B18" s="5"/>
      <c r="C18" s="5"/>
      <c r="D18" s="5"/>
      <c r="E18" s="5"/>
      <c r="F18" s="5"/>
      <c r="G18" s="5"/>
      <c r="H18" s="5"/>
      <c r="I18" s="5"/>
      <c r="J18" s="5"/>
      <c r="K18" s="5"/>
      <c r="L18" s="5"/>
      <c r="M18" s="5"/>
      <c r="N18" s="5"/>
      <c r="O18" s="5"/>
      <c r="P18" s="5"/>
      <c r="Q18" s="5"/>
      <c r="R18" s="5"/>
      <c r="S18" s="5"/>
      <c r="T18" s="5"/>
      <c r="U18" s="5"/>
      <c r="V18" s="5"/>
      <c r="W18" s="5"/>
    </row>
    <row r="19" spans="1:23" x14ac:dyDescent="0.3">
      <c r="A19" s="5"/>
      <c r="B19" s="5"/>
      <c r="C19" s="5"/>
      <c r="D19" s="5"/>
      <c r="E19" s="5"/>
      <c r="F19" s="5"/>
      <c r="G19" s="5"/>
      <c r="H19" s="5"/>
      <c r="I19" s="5"/>
      <c r="J19" s="5"/>
      <c r="K19" s="5"/>
      <c r="L19" s="5"/>
      <c r="M19" s="5"/>
      <c r="N19" s="5"/>
      <c r="O19" s="5"/>
      <c r="P19" s="5"/>
      <c r="Q19" s="5"/>
      <c r="R19" s="5"/>
      <c r="S19" s="5"/>
      <c r="T19" s="5"/>
      <c r="U19" s="5"/>
      <c r="V19" s="5"/>
      <c r="W19" s="5"/>
    </row>
    <row r="20" spans="1:23" x14ac:dyDescent="0.3">
      <c r="A20" s="5"/>
      <c r="B20" s="5"/>
      <c r="C20" s="5"/>
      <c r="D20" s="5"/>
      <c r="E20" s="5"/>
      <c r="F20" s="5"/>
      <c r="G20" s="5"/>
      <c r="H20" s="5"/>
      <c r="I20" s="5"/>
      <c r="J20" s="5"/>
      <c r="K20" s="5"/>
      <c r="L20" s="5"/>
      <c r="M20" s="5"/>
      <c r="N20" s="5"/>
      <c r="O20" s="5"/>
      <c r="P20" s="5"/>
      <c r="Q20" s="5"/>
      <c r="R20" s="5"/>
      <c r="S20" s="5"/>
      <c r="T20" s="5"/>
      <c r="U20" s="5"/>
      <c r="V20" s="5"/>
      <c r="W20" s="5"/>
    </row>
    <row r="21" spans="1:23" x14ac:dyDescent="0.3">
      <c r="A21" s="5"/>
      <c r="B21" s="5"/>
      <c r="C21" s="5"/>
      <c r="D21" s="5"/>
      <c r="E21" s="5"/>
      <c r="F21" s="5"/>
      <c r="G21" s="5"/>
      <c r="H21" s="5"/>
      <c r="I21" s="5"/>
      <c r="J21" s="5"/>
      <c r="K21" s="5"/>
      <c r="L21" s="5"/>
      <c r="M21" s="5"/>
      <c r="N21" s="5"/>
      <c r="O21" s="5"/>
      <c r="P21" s="5"/>
      <c r="Q21" s="5"/>
      <c r="R21" s="5"/>
      <c r="S21" s="5"/>
      <c r="T21" s="5"/>
      <c r="U21" s="5"/>
      <c r="V21" s="5"/>
      <c r="W21" s="5"/>
    </row>
    <row r="22" spans="1:23" x14ac:dyDescent="0.3">
      <c r="A22" s="5"/>
      <c r="B22" s="5"/>
      <c r="C22" s="5"/>
      <c r="D22" s="5"/>
      <c r="E22" s="5"/>
      <c r="F22" s="5"/>
      <c r="G22" s="5"/>
      <c r="H22" s="5"/>
      <c r="I22" s="5"/>
      <c r="J22" s="5"/>
      <c r="K22" s="5"/>
      <c r="L22" s="5"/>
      <c r="M22" s="5"/>
      <c r="N22" s="5"/>
      <c r="O22" s="5"/>
      <c r="P22" s="5"/>
      <c r="Q22" s="5"/>
      <c r="R22" s="5"/>
      <c r="S22" s="5"/>
      <c r="T22" s="5"/>
      <c r="U22" s="5"/>
      <c r="V22" s="5"/>
      <c r="W22" s="5"/>
    </row>
    <row r="23" spans="1:23" x14ac:dyDescent="0.3">
      <c r="A23" s="5"/>
      <c r="B23" s="5"/>
      <c r="C23" s="5"/>
      <c r="D23" s="5"/>
      <c r="E23" s="5"/>
      <c r="F23" s="5"/>
      <c r="G23" s="5"/>
      <c r="H23" s="5"/>
      <c r="I23" s="5"/>
      <c r="J23" s="5"/>
      <c r="K23" s="5"/>
      <c r="L23" s="5"/>
      <c r="M23" s="5"/>
      <c r="N23" s="5"/>
      <c r="O23" s="5"/>
      <c r="P23" s="5"/>
      <c r="Q23" s="5"/>
      <c r="R23" s="5"/>
      <c r="S23" s="5"/>
      <c r="T23" s="5"/>
      <c r="U23" s="5"/>
      <c r="V23" s="5"/>
      <c r="W23" s="5"/>
    </row>
    <row r="24" spans="1:23" x14ac:dyDescent="0.3">
      <c r="A24" s="5"/>
      <c r="B24" s="5"/>
      <c r="C24" s="5"/>
      <c r="D24" s="5"/>
      <c r="E24" s="5"/>
      <c r="F24" s="5"/>
      <c r="G24" s="5"/>
      <c r="H24" s="5"/>
      <c r="I24" s="5"/>
      <c r="J24" s="5"/>
      <c r="K24" s="5"/>
      <c r="L24" s="5"/>
      <c r="M24" s="5"/>
      <c r="N24" s="5"/>
      <c r="O24" s="5"/>
      <c r="P24" s="5"/>
      <c r="Q24" s="5"/>
      <c r="R24" s="5"/>
      <c r="S24" s="5"/>
      <c r="T24" s="5"/>
      <c r="U24" s="5"/>
      <c r="V24" s="5"/>
      <c r="W24" s="5"/>
    </row>
    <row r="25" spans="1:23" x14ac:dyDescent="0.3">
      <c r="A25" s="5"/>
      <c r="B25" s="5"/>
      <c r="C25" s="5"/>
      <c r="D25" s="5"/>
      <c r="E25" s="5"/>
      <c r="F25" s="5"/>
      <c r="G25" s="5"/>
      <c r="H25" s="5"/>
      <c r="I25" s="5"/>
      <c r="J25" s="5"/>
      <c r="K25" s="5"/>
      <c r="L25" s="5"/>
      <c r="M25" s="5"/>
      <c r="N25" s="5"/>
      <c r="O25" s="5"/>
      <c r="P25" s="5"/>
      <c r="Q25" s="5"/>
      <c r="R25" s="5"/>
      <c r="S25" s="5"/>
      <c r="T25" s="5"/>
      <c r="U25" s="5"/>
      <c r="V25" s="5"/>
      <c r="W25" s="5"/>
    </row>
    <row r="26" spans="1:23" x14ac:dyDescent="0.3">
      <c r="A26" s="5"/>
      <c r="B26" s="5"/>
      <c r="C26" s="5"/>
      <c r="D26" s="5"/>
      <c r="E26" s="5"/>
      <c r="F26" s="5"/>
      <c r="G26" s="5"/>
      <c r="H26" s="5"/>
      <c r="I26" s="5"/>
      <c r="J26" s="5"/>
      <c r="K26" s="5"/>
      <c r="L26" s="5"/>
      <c r="M26" s="5"/>
      <c r="N26" s="5"/>
      <c r="O26" s="5"/>
      <c r="P26" s="5"/>
      <c r="Q26" s="5"/>
      <c r="R26" s="5"/>
      <c r="S26" s="5"/>
      <c r="T26" s="5"/>
      <c r="U26" s="5"/>
      <c r="V26" s="5"/>
      <c r="W26" s="5"/>
    </row>
    <row r="27" spans="1:23" x14ac:dyDescent="0.3">
      <c r="A27" s="5"/>
      <c r="B27" s="5"/>
      <c r="C27" s="5"/>
      <c r="D27" s="5"/>
      <c r="E27" s="5"/>
      <c r="F27" s="5"/>
      <c r="G27" s="5"/>
      <c r="H27" s="5"/>
      <c r="I27" s="5"/>
      <c r="J27" s="5"/>
      <c r="K27" s="5"/>
      <c r="L27" s="5"/>
      <c r="M27" s="5"/>
      <c r="N27" s="5"/>
      <c r="O27" s="5"/>
      <c r="P27" s="5"/>
      <c r="Q27" s="5"/>
      <c r="R27" s="5"/>
      <c r="S27" s="5"/>
      <c r="T27" s="5"/>
      <c r="U27" s="5"/>
      <c r="V27" s="5"/>
      <c r="W27" s="5"/>
    </row>
    <row r="28" spans="1:23" x14ac:dyDescent="0.3">
      <c r="A28" s="5"/>
      <c r="B28" s="5"/>
      <c r="C28" s="5"/>
      <c r="D28" s="5"/>
      <c r="E28" s="5"/>
      <c r="F28" s="5"/>
      <c r="G28" s="5"/>
      <c r="H28" s="5"/>
      <c r="I28" s="5"/>
      <c r="J28" s="5"/>
      <c r="K28" s="5"/>
      <c r="L28" s="5"/>
      <c r="M28" s="5"/>
      <c r="N28" s="5"/>
      <c r="O28" s="5"/>
      <c r="P28" s="5"/>
      <c r="Q28" s="5"/>
      <c r="R28" s="5"/>
      <c r="S28" s="5"/>
      <c r="T28" s="5"/>
      <c r="U28" s="5"/>
      <c r="V28" s="5"/>
      <c r="W28" s="5"/>
    </row>
    <row r="29" spans="1:23" x14ac:dyDescent="0.3">
      <c r="A29" s="5"/>
      <c r="B29" s="5"/>
      <c r="C29" s="5"/>
      <c r="D29" s="5"/>
      <c r="E29" s="5"/>
      <c r="F29" s="5"/>
      <c r="G29" s="5"/>
      <c r="H29" s="5"/>
      <c r="I29" s="5"/>
      <c r="J29" s="5"/>
      <c r="K29" s="5"/>
      <c r="L29" s="5"/>
      <c r="M29" s="5"/>
      <c r="N29" s="5"/>
      <c r="O29" s="5"/>
      <c r="P29" s="5"/>
      <c r="Q29" s="5"/>
      <c r="R29" s="5"/>
      <c r="S29" s="5"/>
      <c r="T29" s="5"/>
      <c r="U29" s="5"/>
      <c r="V29" s="5"/>
      <c r="W29" s="5"/>
    </row>
    <row r="30" spans="1:23" x14ac:dyDescent="0.3">
      <c r="A30" s="5"/>
      <c r="B30" s="5"/>
      <c r="C30" s="5"/>
      <c r="D30" s="5"/>
      <c r="E30" s="5"/>
      <c r="F30" s="5"/>
      <c r="G30" s="5"/>
      <c r="H30" s="5"/>
      <c r="I30" s="5"/>
      <c r="J30" s="5"/>
      <c r="K30" s="5"/>
      <c r="L30" s="5"/>
      <c r="M30" s="5"/>
      <c r="N30" s="5"/>
      <c r="O30" s="5"/>
      <c r="P30" s="5"/>
      <c r="Q30" s="5"/>
      <c r="R30" s="5"/>
      <c r="S30" s="5"/>
      <c r="T30" s="5"/>
      <c r="U30" s="5"/>
      <c r="V30" s="5"/>
      <c r="W30" s="5"/>
    </row>
    <row r="31" spans="1:23" x14ac:dyDescent="0.3">
      <c r="A31" s="5"/>
      <c r="B31" s="5"/>
      <c r="C31" s="5"/>
      <c r="D31" s="5"/>
      <c r="E31" s="5"/>
      <c r="F31" s="5"/>
      <c r="G31" s="5"/>
      <c r="H31" s="5"/>
      <c r="I31" s="5"/>
      <c r="J31" s="5"/>
      <c r="K31" s="5"/>
      <c r="L31" s="5"/>
      <c r="M31" s="5"/>
      <c r="N31" s="5"/>
      <c r="O31" s="5"/>
      <c r="P31" s="5"/>
      <c r="Q31" s="5"/>
      <c r="R31" s="5"/>
      <c r="S31" s="5"/>
      <c r="T31" s="5"/>
      <c r="U31" s="5"/>
      <c r="V31" s="5"/>
      <c r="W31" s="5"/>
    </row>
    <row r="32" spans="1:23" x14ac:dyDescent="0.3">
      <c r="A32" s="5"/>
      <c r="B32" s="5"/>
      <c r="C32" s="5"/>
      <c r="D32" s="5"/>
      <c r="E32" s="5"/>
      <c r="F32" s="5"/>
      <c r="G32" s="5"/>
      <c r="H32" s="5"/>
      <c r="I32" s="5"/>
      <c r="J32" s="5"/>
      <c r="K32" s="5"/>
      <c r="L32" s="5"/>
      <c r="M32" s="5"/>
      <c r="N32" s="5"/>
      <c r="O32" s="5"/>
      <c r="P32" s="5"/>
      <c r="Q32" s="5"/>
      <c r="R32" s="5"/>
      <c r="S32" s="5"/>
      <c r="T32" s="5"/>
      <c r="U32" s="5"/>
      <c r="V32" s="5"/>
      <c r="W32" s="5"/>
    </row>
    <row r="33" spans="1:23" x14ac:dyDescent="0.3">
      <c r="A33" s="5"/>
      <c r="B33" s="5"/>
      <c r="C33" s="5"/>
      <c r="D33" s="5"/>
      <c r="E33" s="5"/>
      <c r="F33" s="5"/>
      <c r="G33" s="5"/>
      <c r="H33" s="5"/>
      <c r="I33" s="5"/>
      <c r="J33" s="5"/>
      <c r="K33" s="5"/>
      <c r="L33" s="5"/>
      <c r="M33" s="5"/>
      <c r="N33" s="5"/>
      <c r="O33" s="5"/>
      <c r="P33" s="5"/>
      <c r="Q33" s="5"/>
      <c r="R33" s="5"/>
      <c r="S33" s="5"/>
      <c r="T33" s="5"/>
      <c r="U33" s="5"/>
      <c r="V33" s="5"/>
      <c r="W33" s="5"/>
    </row>
    <row r="34" spans="1:23" x14ac:dyDescent="0.3">
      <c r="A34" s="5"/>
      <c r="B34" s="5"/>
      <c r="C34" s="5"/>
      <c r="D34" s="5"/>
      <c r="E34" s="5"/>
      <c r="F34" s="5"/>
      <c r="G34" s="5"/>
      <c r="H34" s="5"/>
      <c r="I34" s="5"/>
      <c r="J34" s="5"/>
      <c r="K34" s="5"/>
      <c r="L34" s="5"/>
      <c r="M34" s="5"/>
      <c r="N34" s="5"/>
      <c r="O34" s="5"/>
      <c r="P34" s="5"/>
      <c r="Q34" s="5"/>
      <c r="R34" s="5"/>
      <c r="S34" s="5"/>
      <c r="T34" s="5"/>
      <c r="U34" s="5"/>
      <c r="V34" s="5"/>
      <c r="W34" s="5"/>
    </row>
    <row r="35" spans="1:23" x14ac:dyDescent="0.3">
      <c r="A35" s="5"/>
      <c r="B35" s="5"/>
      <c r="C35" s="5"/>
      <c r="D35" s="5"/>
      <c r="E35" s="5"/>
      <c r="F35" s="5"/>
      <c r="G35" s="5"/>
      <c r="H35" s="5"/>
      <c r="I35" s="5"/>
      <c r="J35" s="5"/>
      <c r="K35" s="5"/>
      <c r="L35" s="5"/>
      <c r="M35" s="5"/>
      <c r="N35" s="5"/>
      <c r="O35" s="5"/>
      <c r="P35" s="5"/>
      <c r="Q35" s="5"/>
      <c r="R35" s="5"/>
      <c r="S35" s="5"/>
      <c r="T35" s="5"/>
      <c r="U35" s="5"/>
      <c r="V35" s="5"/>
      <c r="W35" s="5"/>
    </row>
    <row r="36" spans="1:23" x14ac:dyDescent="0.3">
      <c r="A36" s="5"/>
      <c r="B36" s="5"/>
      <c r="C36" s="5"/>
      <c r="D36" s="5"/>
      <c r="E36" s="5"/>
      <c r="F36" s="5"/>
      <c r="G36" s="5"/>
      <c r="H36" s="5"/>
      <c r="I36" s="5"/>
      <c r="J36" s="5"/>
      <c r="K36" s="5"/>
      <c r="L36" s="5"/>
      <c r="M36" s="5"/>
      <c r="N36" s="5"/>
      <c r="O36" s="5"/>
      <c r="P36" s="5"/>
      <c r="Q36" s="5"/>
      <c r="R36" s="5"/>
      <c r="S36" s="5"/>
      <c r="T36" s="5"/>
      <c r="U36" s="5"/>
      <c r="V36" s="5"/>
      <c r="W36" s="5"/>
    </row>
    <row r="37" spans="1:23" x14ac:dyDescent="0.3">
      <c r="A37" s="5"/>
      <c r="B37" s="5"/>
      <c r="C37" s="5"/>
      <c r="D37" s="5"/>
      <c r="E37" s="5"/>
      <c r="F37" s="5"/>
      <c r="G37" s="5"/>
      <c r="H37" s="5"/>
      <c r="I37" s="5"/>
      <c r="J37" s="5"/>
      <c r="K37" s="5"/>
      <c r="L37" s="5"/>
      <c r="M37" s="5"/>
      <c r="N37" s="5"/>
      <c r="O37" s="5"/>
      <c r="P37" s="5"/>
      <c r="Q37" s="5"/>
      <c r="R37" s="5"/>
      <c r="S37" s="5"/>
      <c r="T37" s="5"/>
      <c r="U37" s="5"/>
      <c r="V37" s="5"/>
      <c r="W37" s="5"/>
    </row>
    <row r="38" spans="1:23" x14ac:dyDescent="0.3">
      <c r="A38" s="5"/>
      <c r="B38" s="5"/>
      <c r="C38" s="5"/>
      <c r="D38" s="5"/>
      <c r="E38" s="5"/>
      <c r="F38" s="5"/>
      <c r="G38" s="5"/>
      <c r="H38" s="5"/>
      <c r="I38" s="5"/>
      <c r="J38" s="5"/>
      <c r="K38" s="5"/>
      <c r="L38" s="5"/>
      <c r="M38" s="5"/>
      <c r="N38" s="5"/>
      <c r="O38" s="5"/>
      <c r="P38" s="5"/>
      <c r="Q38" s="5"/>
      <c r="R38" s="5"/>
      <c r="S38" s="5"/>
      <c r="T38" s="5"/>
      <c r="U38" s="5"/>
      <c r="V38" s="5"/>
      <c r="W38" s="5"/>
    </row>
    <row r="39" spans="1:23" x14ac:dyDescent="0.3">
      <c r="A39" s="5"/>
      <c r="B39" s="5"/>
      <c r="C39" s="5"/>
      <c r="D39" s="5"/>
      <c r="E39" s="5"/>
      <c r="F39" s="5"/>
      <c r="G39" s="5"/>
      <c r="H39" s="5"/>
      <c r="I39" s="5"/>
      <c r="J39" s="5"/>
      <c r="K39" s="5"/>
      <c r="L39" s="5"/>
      <c r="M39" s="5"/>
      <c r="N39" s="5"/>
      <c r="O39" s="5"/>
      <c r="P39" s="5"/>
      <c r="Q39" s="5"/>
      <c r="R39" s="5"/>
      <c r="S39" s="5"/>
      <c r="T39" s="5"/>
      <c r="U39" s="5"/>
      <c r="V39" s="5"/>
      <c r="W39" s="5"/>
    </row>
    <row r="40" spans="1:23" x14ac:dyDescent="0.3">
      <c r="A40" s="5"/>
      <c r="B40" s="5"/>
      <c r="C40" s="5"/>
      <c r="D40" s="5"/>
      <c r="E40" s="5"/>
      <c r="F40" s="5"/>
      <c r="G40" s="5"/>
      <c r="H40" s="5"/>
      <c r="I40" s="5"/>
      <c r="J40" s="5"/>
      <c r="K40" s="5"/>
      <c r="L40" s="5"/>
      <c r="M40" s="5"/>
      <c r="N40" s="5"/>
      <c r="O40" s="5"/>
      <c r="P40" s="5"/>
      <c r="Q40" s="5"/>
      <c r="R40" s="5"/>
      <c r="S40" s="5"/>
      <c r="T40" s="5"/>
      <c r="U40" s="5"/>
      <c r="V40" s="5"/>
      <c r="W40" s="5"/>
    </row>
    <row r="41" spans="1:23" x14ac:dyDescent="0.3">
      <c r="A41" s="5"/>
      <c r="B41" s="5"/>
      <c r="C41" s="5"/>
      <c r="D41" s="5"/>
      <c r="E41" s="5"/>
      <c r="F41" s="5"/>
      <c r="G41" s="5"/>
      <c r="H41" s="5"/>
      <c r="I41" s="5"/>
      <c r="J41" s="5"/>
      <c r="K41" s="5"/>
      <c r="L41" s="5"/>
      <c r="M41" s="5"/>
      <c r="N41" s="5"/>
      <c r="O41" s="5"/>
      <c r="P41" s="5"/>
      <c r="Q41" s="5"/>
      <c r="R41" s="5"/>
      <c r="S41" s="5"/>
      <c r="T41" s="5"/>
      <c r="U41" s="5"/>
      <c r="V41" s="5"/>
      <c r="W41" s="5"/>
    </row>
    <row r="42" spans="1:23" x14ac:dyDescent="0.3">
      <c r="A42" s="5"/>
      <c r="B42" s="5"/>
      <c r="C42" s="5"/>
      <c r="D42" s="5"/>
      <c r="E42" s="5"/>
      <c r="F42" s="5"/>
      <c r="G42" s="5"/>
      <c r="H42" s="5"/>
      <c r="I42" s="5"/>
      <c r="J42" s="5"/>
      <c r="K42" s="5"/>
      <c r="L42" s="5"/>
      <c r="M42" s="5"/>
      <c r="N42" s="5"/>
      <c r="O42" s="5"/>
      <c r="P42" s="5"/>
      <c r="Q42" s="5"/>
      <c r="R42" s="5"/>
      <c r="S42" s="5"/>
      <c r="T42" s="5"/>
      <c r="U42" s="5"/>
      <c r="V42" s="5"/>
      <c r="W42" s="5"/>
    </row>
    <row r="43" spans="1:23" x14ac:dyDescent="0.3">
      <c r="A43" s="5"/>
      <c r="B43" s="5"/>
      <c r="C43" s="5"/>
      <c r="D43" s="5"/>
      <c r="E43" s="5"/>
      <c r="F43" s="5"/>
      <c r="G43" s="5"/>
      <c r="H43" s="5"/>
      <c r="I43" s="5"/>
      <c r="J43" s="5"/>
      <c r="K43" s="5"/>
      <c r="L43" s="5"/>
      <c r="M43" s="5"/>
      <c r="N43" s="5"/>
      <c r="O43" s="5"/>
      <c r="P43" s="5"/>
      <c r="Q43" s="5"/>
      <c r="R43" s="5"/>
      <c r="S43" s="5"/>
      <c r="T43" s="5"/>
      <c r="U43" s="5"/>
      <c r="V43" s="5"/>
      <c r="W43" s="5"/>
    </row>
    <row r="44" spans="1:23" x14ac:dyDescent="0.3">
      <c r="A44" s="5"/>
      <c r="B44" s="5"/>
      <c r="C44" s="5"/>
      <c r="D44" s="5"/>
      <c r="E44" s="5"/>
      <c r="F44" s="5"/>
      <c r="G44" s="5"/>
      <c r="H44" s="5"/>
      <c r="I44" s="5"/>
      <c r="J44" s="5"/>
      <c r="K44" s="5"/>
      <c r="L44" s="5"/>
      <c r="M44" s="5"/>
      <c r="N44" s="5"/>
      <c r="O44" s="5"/>
      <c r="P44" s="5"/>
      <c r="Q44" s="5"/>
      <c r="R44" s="5"/>
      <c r="S44" s="5"/>
      <c r="T44" s="5"/>
      <c r="U44" s="5"/>
      <c r="V44" s="5"/>
      <c r="W44" s="5"/>
    </row>
    <row r="45" spans="1:23" x14ac:dyDescent="0.3">
      <c r="A45" s="5"/>
      <c r="B45" s="5"/>
      <c r="C45" s="5"/>
      <c r="D45" s="5"/>
      <c r="E45" s="5"/>
      <c r="F45" s="5"/>
      <c r="G45" s="5"/>
      <c r="H45" s="5"/>
      <c r="I45" s="5"/>
      <c r="J45" s="5"/>
      <c r="K45" s="5"/>
      <c r="L45" s="5"/>
      <c r="M45" s="5"/>
      <c r="N45" s="5"/>
      <c r="O45" s="5"/>
      <c r="P45" s="5"/>
      <c r="Q45" s="5"/>
      <c r="R45" s="5"/>
      <c r="S45" s="5"/>
      <c r="T45" s="5"/>
      <c r="U45" s="5"/>
      <c r="V45" s="5"/>
      <c r="W45" s="5"/>
    </row>
    <row r="46" spans="1:23" x14ac:dyDescent="0.3">
      <c r="A46" s="5"/>
      <c r="B46" s="5"/>
      <c r="C46" s="5"/>
      <c r="D46" s="5"/>
      <c r="E46" s="5"/>
      <c r="F46" s="5"/>
      <c r="G46" s="5"/>
      <c r="H46" s="5"/>
      <c r="I46" s="5"/>
      <c r="J46" s="5"/>
      <c r="K46" s="5"/>
      <c r="L46" s="5"/>
      <c r="M46" s="5"/>
      <c r="N46" s="5"/>
      <c r="O46" s="5"/>
      <c r="P46" s="5"/>
      <c r="Q46" s="5"/>
      <c r="R46" s="5"/>
      <c r="S46" s="5"/>
      <c r="T46" s="5"/>
      <c r="U46" s="5"/>
      <c r="V46" s="5"/>
      <c r="W46" s="5"/>
    </row>
    <row r="47" spans="1:23" x14ac:dyDescent="0.3">
      <c r="A47" s="5"/>
      <c r="B47" s="5"/>
      <c r="C47" s="5"/>
      <c r="D47" s="5"/>
      <c r="E47" s="5"/>
      <c r="F47" s="5"/>
      <c r="G47" s="5"/>
      <c r="H47" s="5"/>
      <c r="I47" s="5"/>
      <c r="J47" s="5"/>
      <c r="K47" s="5"/>
      <c r="L47" s="5"/>
      <c r="M47" s="5"/>
      <c r="N47" s="5"/>
      <c r="O47" s="5"/>
      <c r="P47" s="5"/>
      <c r="Q47" s="5"/>
      <c r="R47" s="5"/>
      <c r="S47" s="5"/>
      <c r="T47" s="5"/>
      <c r="U47" s="5"/>
      <c r="V47" s="5"/>
      <c r="W47" s="5"/>
    </row>
    <row r="48" spans="1:23" x14ac:dyDescent="0.3">
      <c r="A48" s="5"/>
      <c r="B48" s="5"/>
      <c r="C48" s="5"/>
      <c r="D48" s="5"/>
      <c r="E48" s="5"/>
      <c r="F48" s="5"/>
      <c r="G48" s="5"/>
      <c r="H48" s="5"/>
      <c r="I48" s="5"/>
      <c r="J48" s="5"/>
      <c r="K48" s="5"/>
      <c r="L48" s="5"/>
      <c r="M48" s="5"/>
      <c r="N48" s="5"/>
      <c r="O48" s="5"/>
      <c r="P48" s="5"/>
      <c r="Q48" s="5"/>
      <c r="R48" s="5"/>
      <c r="S48" s="5"/>
      <c r="T48" s="5"/>
      <c r="U48" s="5"/>
      <c r="V48" s="5"/>
      <c r="W48" s="5"/>
    </row>
    <row r="49" spans="1:23" x14ac:dyDescent="0.3">
      <c r="A49" s="5"/>
      <c r="B49" s="5"/>
      <c r="C49" s="5"/>
      <c r="D49" s="5"/>
      <c r="E49" s="5"/>
      <c r="F49" s="5"/>
      <c r="G49" s="5"/>
      <c r="H49" s="5"/>
      <c r="I49" s="5"/>
      <c r="J49" s="5"/>
      <c r="K49" s="5"/>
      <c r="L49" s="5"/>
      <c r="M49" s="5"/>
      <c r="N49" s="5"/>
      <c r="O49" s="5"/>
      <c r="P49" s="5"/>
      <c r="Q49" s="5"/>
      <c r="R49" s="5"/>
      <c r="S49" s="5"/>
      <c r="T49" s="5"/>
      <c r="U49" s="5"/>
      <c r="V49" s="5"/>
      <c r="W49" s="5"/>
    </row>
    <row r="50" spans="1:23" x14ac:dyDescent="0.3">
      <c r="A50" s="5"/>
      <c r="B50" s="5"/>
      <c r="C50" s="5"/>
      <c r="D50" s="5"/>
      <c r="E50" s="5"/>
      <c r="F50" s="5"/>
      <c r="G50" s="5"/>
      <c r="H50" s="5"/>
      <c r="I50" s="5"/>
      <c r="J50" s="5"/>
      <c r="K50" s="5"/>
      <c r="L50" s="5"/>
      <c r="M50" s="5"/>
      <c r="N50" s="5"/>
      <c r="O50" s="5"/>
      <c r="P50" s="5"/>
      <c r="Q50" s="5"/>
      <c r="R50" s="5"/>
      <c r="S50" s="5"/>
      <c r="T50" s="5"/>
      <c r="U50" s="5"/>
      <c r="V50" s="5"/>
      <c r="W50" s="5"/>
    </row>
    <row r="51" spans="1:23" x14ac:dyDescent="0.3">
      <c r="A51" s="5"/>
      <c r="B51" s="5"/>
      <c r="C51" s="5"/>
      <c r="D51" s="5"/>
      <c r="E51" s="5"/>
      <c r="F51" s="5"/>
      <c r="G51" s="5"/>
      <c r="H51" s="5"/>
      <c r="I51" s="5"/>
      <c r="J51" s="5"/>
      <c r="K51" s="5"/>
      <c r="L51" s="5"/>
      <c r="M51" s="5"/>
      <c r="N51" s="5"/>
      <c r="O51" s="5"/>
      <c r="P51" s="5"/>
      <c r="Q51" s="5"/>
      <c r="R51" s="5"/>
      <c r="S51" s="5"/>
      <c r="T51" s="5"/>
      <c r="U51" s="5"/>
      <c r="V51" s="5"/>
      <c r="W51" s="5"/>
    </row>
    <row r="52" spans="1:23" x14ac:dyDescent="0.3">
      <c r="A52" s="5"/>
      <c r="B52" s="5"/>
      <c r="C52" s="5"/>
      <c r="D52" s="5"/>
      <c r="E52" s="5"/>
      <c r="F52" s="5"/>
      <c r="G52" s="5"/>
      <c r="H52" s="5"/>
      <c r="I52" s="5"/>
      <c r="J52" s="5"/>
      <c r="K52" s="5"/>
      <c r="L52" s="5"/>
      <c r="M52" s="5"/>
      <c r="N52" s="5"/>
      <c r="O52" s="5"/>
      <c r="P52" s="5"/>
      <c r="Q52" s="5"/>
      <c r="R52" s="5"/>
      <c r="S52" s="5"/>
      <c r="T52" s="5"/>
      <c r="U52" s="5"/>
      <c r="V52" s="5"/>
      <c r="W52" s="5"/>
    </row>
    <row r="53" spans="1:23" x14ac:dyDescent="0.3">
      <c r="A53" s="5"/>
      <c r="B53" s="5"/>
      <c r="C53" s="5"/>
      <c r="D53" s="5"/>
      <c r="E53" s="5"/>
      <c r="F53" s="5"/>
      <c r="G53" s="5"/>
      <c r="H53" s="5"/>
      <c r="I53" s="5"/>
      <c r="J53" s="5"/>
      <c r="K53" s="5"/>
      <c r="L53" s="5"/>
      <c r="M53" s="5"/>
      <c r="N53" s="5"/>
      <c r="O53" s="5"/>
      <c r="P53" s="5"/>
      <c r="Q53" s="5"/>
      <c r="R53" s="5"/>
      <c r="S53" s="5"/>
      <c r="T53" s="5"/>
      <c r="U53" s="5"/>
      <c r="V53" s="5"/>
      <c r="W53" s="5"/>
    </row>
    <row r="54" spans="1:23" x14ac:dyDescent="0.3">
      <c r="A54" s="5"/>
      <c r="B54" s="5"/>
      <c r="C54" s="5"/>
      <c r="D54" s="5"/>
      <c r="E54" s="5"/>
      <c r="F54" s="5"/>
      <c r="G54" s="5"/>
      <c r="H54" s="5"/>
      <c r="I54" s="5"/>
      <c r="J54" s="5"/>
      <c r="K54" s="5"/>
      <c r="L54" s="5"/>
      <c r="M54" s="5"/>
      <c r="N54" s="5"/>
      <c r="O54" s="5"/>
      <c r="P54" s="5"/>
      <c r="Q54" s="5"/>
      <c r="R54" s="5"/>
      <c r="S54" s="5"/>
      <c r="T54" s="5"/>
      <c r="U54" s="5"/>
      <c r="V54" s="5"/>
      <c r="W54" s="5"/>
    </row>
    <row r="55" spans="1:23" x14ac:dyDescent="0.3">
      <c r="A55" s="5"/>
      <c r="B55" s="5"/>
      <c r="C55" s="5"/>
      <c r="D55" s="5"/>
      <c r="E55" s="5"/>
      <c r="F55" s="5"/>
      <c r="G55" s="5"/>
      <c r="H55" s="5"/>
      <c r="I55" s="5"/>
      <c r="J55" s="5"/>
      <c r="K55" s="5"/>
      <c r="L55" s="5"/>
      <c r="M55" s="5"/>
      <c r="N55" s="5"/>
      <c r="O55" s="5"/>
      <c r="P55" s="5"/>
      <c r="Q55" s="5"/>
      <c r="R55" s="5"/>
      <c r="S55" s="5"/>
      <c r="T55" s="5"/>
      <c r="U55" s="5"/>
      <c r="V55" s="5"/>
      <c r="W55" s="5"/>
    </row>
    <row r="56" spans="1:23" x14ac:dyDescent="0.3">
      <c r="A56" s="5"/>
      <c r="B56" s="5"/>
      <c r="C56" s="5"/>
      <c r="D56" s="5"/>
      <c r="E56" s="5"/>
      <c r="F56" s="5"/>
      <c r="G56" s="5"/>
      <c r="H56" s="5"/>
      <c r="I56" s="5"/>
      <c r="J56" s="5"/>
      <c r="K56" s="5"/>
      <c r="L56" s="5"/>
      <c r="M56" s="5"/>
      <c r="N56" s="5"/>
      <c r="O56" s="5"/>
      <c r="P56" s="5"/>
      <c r="Q56" s="5"/>
      <c r="R56" s="5"/>
      <c r="S56" s="5"/>
      <c r="T56" s="5"/>
      <c r="U56" s="5"/>
      <c r="V56" s="5"/>
      <c r="W56" s="5"/>
    </row>
    <row r="57" spans="1:23" x14ac:dyDescent="0.3">
      <c r="A57" s="5"/>
      <c r="B57" s="5"/>
      <c r="C57" s="5"/>
      <c r="D57" s="5"/>
      <c r="E57" s="5"/>
      <c r="F57" s="5"/>
      <c r="G57" s="5"/>
      <c r="H57" s="5"/>
      <c r="I57" s="5"/>
      <c r="J57" s="5"/>
      <c r="K57" s="5"/>
      <c r="L57" s="5"/>
      <c r="M57" s="5"/>
      <c r="N57" s="5"/>
      <c r="O57" s="5"/>
      <c r="P57" s="5"/>
      <c r="Q57" s="5"/>
      <c r="R57" s="5"/>
      <c r="S57" s="5"/>
      <c r="T57" s="5"/>
      <c r="U57" s="5"/>
      <c r="V57" s="5"/>
      <c r="W57" s="5"/>
    </row>
    <row r="58" spans="1:23" x14ac:dyDescent="0.3">
      <c r="A58" s="5"/>
      <c r="B58" s="5"/>
      <c r="C58" s="5"/>
      <c r="D58" s="5"/>
      <c r="E58" s="5"/>
      <c r="F58" s="5"/>
      <c r="G58" s="5"/>
      <c r="H58" s="5"/>
      <c r="I58" s="5"/>
      <c r="J58" s="5"/>
      <c r="K58" s="5"/>
      <c r="L58" s="5"/>
      <c r="M58" s="5"/>
      <c r="N58" s="5"/>
      <c r="O58" s="5"/>
      <c r="P58" s="5"/>
      <c r="Q58" s="5"/>
      <c r="R58" s="5"/>
      <c r="S58" s="5"/>
      <c r="T58" s="5"/>
      <c r="U58" s="5"/>
      <c r="V58" s="5"/>
      <c r="W58" s="5"/>
    </row>
    <row r="59" spans="1:23" x14ac:dyDescent="0.3">
      <c r="A59" s="5"/>
      <c r="B59" s="5"/>
      <c r="C59" s="5"/>
      <c r="D59" s="5"/>
      <c r="E59" s="5"/>
      <c r="F59" s="5"/>
      <c r="G59" s="5"/>
      <c r="H59" s="5"/>
      <c r="I59" s="5"/>
      <c r="J59" s="5"/>
      <c r="K59" s="5"/>
      <c r="L59" s="5"/>
      <c r="M59" s="5"/>
      <c r="N59" s="5"/>
      <c r="O59" s="5"/>
      <c r="P59" s="5"/>
      <c r="Q59" s="5"/>
      <c r="R59" s="5"/>
      <c r="S59" s="5"/>
      <c r="T59" s="5"/>
      <c r="U59" s="5"/>
      <c r="V59" s="5"/>
      <c r="W59" s="5"/>
    </row>
    <row r="60" spans="1:23" x14ac:dyDescent="0.3">
      <c r="A60" s="5"/>
      <c r="B60" s="5"/>
      <c r="C60" s="5"/>
      <c r="D60" s="5"/>
      <c r="E60" s="5"/>
      <c r="F60" s="5"/>
      <c r="G60" s="5"/>
      <c r="H60" s="5"/>
      <c r="I60" s="5"/>
      <c r="J60" s="5"/>
      <c r="K60" s="5"/>
      <c r="L60" s="5"/>
      <c r="M60" s="5"/>
      <c r="N60" s="5"/>
      <c r="O60" s="5"/>
      <c r="P60" s="5"/>
      <c r="Q60" s="5"/>
      <c r="R60" s="5"/>
      <c r="S60" s="5"/>
      <c r="T60" s="5"/>
      <c r="U60" s="5"/>
      <c r="V60" s="5"/>
      <c r="W60" s="5"/>
    </row>
    <row r="61" spans="1:23" x14ac:dyDescent="0.3">
      <c r="A61" s="5"/>
      <c r="B61" s="5"/>
      <c r="C61" s="5"/>
      <c r="D61" s="5"/>
      <c r="E61" s="5"/>
      <c r="F61" s="5"/>
      <c r="G61" s="5"/>
      <c r="H61" s="5"/>
      <c r="I61" s="5"/>
      <c r="J61" s="5"/>
      <c r="K61" s="5"/>
      <c r="L61" s="5"/>
      <c r="M61" s="5"/>
      <c r="N61" s="5"/>
      <c r="O61" s="5"/>
      <c r="P61" s="5"/>
      <c r="Q61" s="5"/>
      <c r="R61" s="5"/>
      <c r="S61" s="5"/>
      <c r="T61" s="5"/>
      <c r="U61" s="5"/>
      <c r="V61" s="5"/>
      <c r="W61" s="5"/>
    </row>
    <row r="62" spans="1:23" x14ac:dyDescent="0.3">
      <c r="A62" s="5"/>
      <c r="B62" s="5"/>
      <c r="C62" s="5"/>
      <c r="D62" s="5"/>
      <c r="E62" s="5"/>
      <c r="F62" s="5"/>
      <c r="G62" s="5"/>
      <c r="H62" s="5"/>
      <c r="I62" s="5"/>
      <c r="J62" s="5"/>
      <c r="K62" s="5"/>
      <c r="L62" s="5"/>
      <c r="M62" s="5"/>
      <c r="N62" s="5"/>
      <c r="O62" s="5"/>
      <c r="P62" s="5"/>
      <c r="Q62" s="5"/>
      <c r="R62" s="5"/>
      <c r="S62" s="5"/>
      <c r="T62" s="5"/>
      <c r="U62" s="5"/>
      <c r="V62" s="5"/>
      <c r="W62" s="5"/>
    </row>
    <row r="63" spans="1:23" x14ac:dyDescent="0.3">
      <c r="A63" s="5"/>
      <c r="B63" s="5"/>
      <c r="C63" s="5"/>
      <c r="D63" s="5"/>
      <c r="E63" s="5"/>
      <c r="F63" s="5"/>
      <c r="G63" s="5"/>
      <c r="H63" s="5"/>
      <c r="I63" s="5"/>
      <c r="J63" s="5"/>
      <c r="K63" s="5"/>
      <c r="L63" s="5"/>
      <c r="M63" s="5"/>
      <c r="N63" s="5"/>
      <c r="O63" s="5"/>
      <c r="P63" s="5"/>
      <c r="Q63" s="5"/>
      <c r="R63" s="5"/>
      <c r="S63" s="5"/>
      <c r="T63" s="5"/>
      <c r="U63" s="5"/>
      <c r="V63" s="5"/>
      <c r="W63" s="5"/>
    </row>
    <row r="64" spans="1:23" x14ac:dyDescent="0.3">
      <c r="A64" s="5"/>
      <c r="B64" s="5"/>
      <c r="C64" s="5"/>
      <c r="D64" s="5"/>
      <c r="E64" s="5"/>
      <c r="F64" s="5"/>
      <c r="G64" s="5"/>
      <c r="H64" s="5"/>
      <c r="I64" s="5"/>
      <c r="J64" s="5"/>
      <c r="K64" s="5"/>
      <c r="L64" s="5"/>
      <c r="M64" s="5"/>
      <c r="N64" s="5"/>
      <c r="O64" s="5"/>
      <c r="P64" s="5"/>
      <c r="Q64" s="5"/>
      <c r="R64" s="5"/>
      <c r="S64" s="5"/>
      <c r="T64" s="5"/>
      <c r="U64" s="5"/>
      <c r="V64" s="5"/>
      <c r="W64" s="5"/>
    </row>
    <row r="65" spans="1:23" x14ac:dyDescent="0.3">
      <c r="A65" s="5"/>
      <c r="B65" s="5"/>
      <c r="C65" s="5"/>
      <c r="D65" s="5"/>
      <c r="E65" s="5"/>
      <c r="F65" s="5"/>
      <c r="G65" s="5"/>
      <c r="H65" s="5"/>
      <c r="I65" s="5"/>
      <c r="J65" s="5"/>
      <c r="K65" s="5"/>
      <c r="L65" s="5"/>
      <c r="M65" s="5"/>
      <c r="N65" s="5"/>
      <c r="O65" s="5"/>
      <c r="P65" s="5"/>
      <c r="Q65" s="5"/>
      <c r="R65" s="5"/>
      <c r="S65" s="5"/>
      <c r="T65" s="5"/>
      <c r="U65" s="5"/>
      <c r="V65" s="5"/>
      <c r="W65" s="5"/>
    </row>
    <row r="66" spans="1:23" x14ac:dyDescent="0.3">
      <c r="A66" s="5"/>
      <c r="B66" s="5"/>
      <c r="C66" s="5"/>
      <c r="D66" s="5"/>
      <c r="E66" s="5"/>
      <c r="F66" s="5"/>
      <c r="G66" s="5"/>
      <c r="H66" s="5"/>
      <c r="I66" s="5"/>
      <c r="J66" s="5"/>
      <c r="K66" s="5"/>
      <c r="L66" s="5"/>
      <c r="M66" s="5"/>
      <c r="N66" s="5"/>
      <c r="O66" s="5"/>
      <c r="P66" s="5"/>
      <c r="Q66" s="5"/>
      <c r="R66" s="5"/>
      <c r="S66" s="5"/>
      <c r="T66" s="5"/>
      <c r="U66" s="5"/>
      <c r="V66" s="5"/>
      <c r="W66" s="5"/>
    </row>
    <row r="67" spans="1:23" x14ac:dyDescent="0.3">
      <c r="A67" s="5"/>
      <c r="B67" s="5"/>
      <c r="C67" s="5"/>
      <c r="D67" s="5"/>
      <c r="E67" s="5"/>
      <c r="F67" s="5"/>
      <c r="G67" s="5"/>
      <c r="H67" s="5"/>
      <c r="I67" s="5"/>
      <c r="J67" s="5"/>
      <c r="K67" s="5"/>
      <c r="L67" s="5"/>
      <c r="M67" s="5"/>
      <c r="N67" s="5"/>
      <c r="O67" s="5"/>
      <c r="P67" s="5"/>
      <c r="Q67" s="5"/>
      <c r="R67" s="5"/>
      <c r="S67" s="5"/>
      <c r="T67" s="5"/>
      <c r="U67" s="5"/>
      <c r="V67" s="5"/>
      <c r="W67" s="5"/>
    </row>
    <row r="68" spans="1:23" x14ac:dyDescent="0.3">
      <c r="A68" s="5"/>
      <c r="B68" s="5"/>
      <c r="C68" s="5"/>
      <c r="D68" s="5"/>
      <c r="E68" s="5"/>
      <c r="F68" s="5"/>
      <c r="G68" s="5"/>
      <c r="H68" s="5"/>
      <c r="I68" s="5"/>
      <c r="J68" s="5"/>
      <c r="K68" s="5"/>
      <c r="L68" s="5"/>
      <c r="M68" s="5"/>
      <c r="N68" s="5"/>
      <c r="O68" s="5"/>
      <c r="P68" s="5"/>
      <c r="Q68" s="5"/>
      <c r="R68" s="5"/>
      <c r="S68" s="5"/>
      <c r="T68" s="5"/>
      <c r="U68" s="5"/>
      <c r="V68" s="5"/>
      <c r="W68" s="5"/>
    </row>
    <row r="69" spans="1:23" x14ac:dyDescent="0.3">
      <c r="A69" s="5"/>
      <c r="B69" s="5"/>
      <c r="C69" s="5"/>
      <c r="D69" s="5"/>
      <c r="E69" s="5"/>
      <c r="F69" s="5"/>
      <c r="G69" s="5"/>
      <c r="H69" s="5"/>
      <c r="I69" s="5"/>
      <c r="J69" s="5"/>
      <c r="K69" s="5"/>
      <c r="L69" s="5"/>
      <c r="M69" s="5"/>
      <c r="N69" s="5"/>
      <c r="O69" s="5"/>
      <c r="P69" s="5"/>
      <c r="Q69" s="5"/>
      <c r="R69" s="5"/>
      <c r="S69" s="5"/>
      <c r="T69" s="5"/>
      <c r="U69" s="5"/>
      <c r="V69" s="5"/>
      <c r="W69" s="5"/>
    </row>
    <row r="70" spans="1:23" x14ac:dyDescent="0.3">
      <c r="A70" s="5"/>
      <c r="B70" s="5"/>
      <c r="C70" s="5"/>
      <c r="D70" s="5"/>
      <c r="E70" s="5"/>
      <c r="F70" s="5"/>
      <c r="G70" s="5"/>
      <c r="H70" s="5"/>
      <c r="I70" s="5"/>
      <c r="J70" s="5"/>
      <c r="K70" s="5"/>
      <c r="L70" s="5"/>
      <c r="M70" s="5"/>
      <c r="N70" s="5"/>
      <c r="O70" s="5"/>
      <c r="P70" s="5"/>
      <c r="Q70" s="5"/>
      <c r="R70" s="5"/>
      <c r="S70" s="5"/>
      <c r="T70" s="5"/>
      <c r="U70" s="5"/>
      <c r="V70" s="5"/>
      <c r="W70" s="5"/>
    </row>
    <row r="71" spans="1:23" x14ac:dyDescent="0.3">
      <c r="A71" s="5"/>
      <c r="B71" s="5"/>
      <c r="C71" s="5"/>
      <c r="D71" s="5"/>
      <c r="E71" s="5"/>
      <c r="F71" s="5"/>
      <c r="G71" s="5"/>
      <c r="H71" s="5"/>
      <c r="I71" s="5"/>
      <c r="J71" s="5"/>
      <c r="K71" s="5"/>
      <c r="L71" s="5"/>
      <c r="M71" s="5"/>
      <c r="N71" s="5"/>
      <c r="O71" s="5"/>
      <c r="P71" s="5"/>
      <c r="Q71" s="5"/>
      <c r="R71" s="5"/>
      <c r="S71" s="5"/>
      <c r="T71" s="5"/>
      <c r="U71" s="5"/>
      <c r="V71" s="5"/>
      <c r="W71" s="5"/>
    </row>
    <row r="72" spans="1:23" x14ac:dyDescent="0.3">
      <c r="A72" s="5"/>
      <c r="B72" s="5"/>
      <c r="C72" s="5"/>
      <c r="D72" s="5"/>
      <c r="E72" s="5"/>
      <c r="F72" s="5"/>
      <c r="G72" s="5"/>
      <c r="H72" s="5"/>
      <c r="I72" s="5"/>
      <c r="J72" s="5"/>
      <c r="K72" s="5"/>
      <c r="L72" s="5"/>
      <c r="M72" s="5"/>
      <c r="N72" s="5"/>
      <c r="O72" s="5"/>
      <c r="P72" s="5"/>
      <c r="Q72" s="5"/>
      <c r="R72" s="5"/>
      <c r="S72" s="5"/>
      <c r="T72" s="5"/>
      <c r="U72" s="5"/>
      <c r="V72" s="5"/>
      <c r="W72" s="5"/>
    </row>
    <row r="73" spans="1:23" x14ac:dyDescent="0.3">
      <c r="A73" s="5"/>
      <c r="B73" s="5"/>
      <c r="C73" s="5"/>
      <c r="D73" s="5"/>
      <c r="E73" s="5"/>
      <c r="F73" s="5"/>
      <c r="G73" s="5"/>
      <c r="H73" s="5"/>
      <c r="I73" s="5"/>
      <c r="J73" s="5"/>
      <c r="K73" s="5"/>
      <c r="L73" s="5"/>
      <c r="M73" s="5"/>
      <c r="N73" s="5"/>
      <c r="O73" s="5"/>
      <c r="P73" s="5"/>
      <c r="Q73" s="5"/>
      <c r="R73" s="5"/>
      <c r="S73" s="5"/>
      <c r="T73" s="5"/>
      <c r="U73" s="5"/>
      <c r="V73" s="5"/>
      <c r="W73" s="5"/>
    </row>
    <row r="74" spans="1:23" x14ac:dyDescent="0.3">
      <c r="A74" s="5"/>
      <c r="B74" s="5"/>
      <c r="C74" s="5"/>
      <c r="D74" s="5"/>
      <c r="E74" s="5"/>
      <c r="F74" s="5"/>
      <c r="G74" s="5"/>
      <c r="H74" s="5"/>
      <c r="I74" s="5"/>
      <c r="J74" s="5"/>
      <c r="K74" s="5"/>
      <c r="L74" s="5"/>
      <c r="M74" s="5"/>
      <c r="N74" s="5"/>
      <c r="O74" s="5"/>
      <c r="P74" s="5"/>
      <c r="Q74" s="5"/>
      <c r="R74" s="5"/>
      <c r="S74" s="5"/>
      <c r="T74" s="5"/>
      <c r="U74" s="5"/>
      <c r="V74" s="5"/>
      <c r="W74" s="5"/>
    </row>
    <row r="75" spans="1:23" x14ac:dyDescent="0.3">
      <c r="A75" s="5"/>
      <c r="B75" s="5"/>
      <c r="C75" s="5"/>
      <c r="D75" s="5"/>
      <c r="E75" s="5"/>
      <c r="F75" s="5"/>
      <c r="G75" s="5"/>
      <c r="H75" s="5"/>
      <c r="I75" s="5"/>
      <c r="J75" s="5"/>
      <c r="K75" s="5"/>
      <c r="L75" s="5"/>
      <c r="M75" s="5"/>
      <c r="N75" s="5"/>
      <c r="O75" s="5"/>
      <c r="P75" s="5"/>
      <c r="Q75" s="5"/>
      <c r="R75" s="5"/>
      <c r="S75" s="5"/>
      <c r="T75" s="5"/>
      <c r="U75" s="5"/>
      <c r="V75" s="5"/>
      <c r="W75" s="5"/>
    </row>
    <row r="76" spans="1:23" x14ac:dyDescent="0.3">
      <c r="A76" s="5"/>
      <c r="B76" s="5"/>
      <c r="C76" s="5"/>
      <c r="D76" s="5"/>
      <c r="E76" s="5"/>
      <c r="F76" s="5"/>
      <c r="G76" s="5"/>
      <c r="H76" s="5"/>
      <c r="I76" s="5"/>
      <c r="J76" s="5"/>
      <c r="K76" s="5"/>
      <c r="L76" s="5"/>
      <c r="M76" s="5"/>
      <c r="N76" s="5"/>
      <c r="O76" s="5"/>
      <c r="P76" s="5"/>
      <c r="Q76" s="5"/>
      <c r="R76" s="5"/>
      <c r="S76" s="5"/>
      <c r="T76" s="5"/>
      <c r="U76" s="5"/>
      <c r="V76" s="5"/>
      <c r="W76" s="5"/>
    </row>
    <row r="77" spans="1:23" x14ac:dyDescent="0.3">
      <c r="A77" s="5"/>
      <c r="B77" s="5"/>
      <c r="C77" s="5"/>
      <c r="D77" s="5"/>
      <c r="E77" s="5"/>
      <c r="F77" s="5"/>
      <c r="G77" s="5"/>
      <c r="H77" s="5"/>
      <c r="I77" s="5"/>
      <c r="J77" s="5"/>
      <c r="K77" s="5"/>
      <c r="L77" s="5"/>
      <c r="M77" s="5"/>
      <c r="N77" s="5"/>
      <c r="O77" s="5"/>
      <c r="P77" s="5"/>
      <c r="Q77" s="5"/>
      <c r="R77" s="5"/>
      <c r="S77" s="5"/>
      <c r="T77" s="5"/>
      <c r="U77" s="5"/>
      <c r="V77" s="5"/>
      <c r="W77" s="5"/>
    </row>
    <row r="78" spans="1:23" x14ac:dyDescent="0.3">
      <c r="A78" s="5"/>
      <c r="B78" s="5"/>
      <c r="C78" s="5"/>
      <c r="D78" s="5"/>
      <c r="E78" s="5"/>
      <c r="F78" s="5"/>
      <c r="G78" s="5"/>
      <c r="H78" s="5"/>
      <c r="I78" s="5"/>
      <c r="J78" s="5"/>
      <c r="K78" s="5"/>
      <c r="L78" s="5"/>
      <c r="M78" s="5"/>
      <c r="N78" s="5"/>
      <c r="O78" s="5"/>
      <c r="P78" s="5"/>
      <c r="Q78" s="5"/>
      <c r="R78" s="5"/>
      <c r="S78" s="5"/>
      <c r="T78" s="5"/>
      <c r="U78" s="5"/>
      <c r="V78" s="5"/>
      <c r="W78" s="5"/>
    </row>
    <row r="79" spans="1:23" x14ac:dyDescent="0.3">
      <c r="A79" s="5"/>
      <c r="B79" s="5"/>
      <c r="C79" s="5"/>
      <c r="D79" s="5"/>
      <c r="E79" s="5"/>
      <c r="F79" s="5"/>
      <c r="G79" s="5"/>
      <c r="H79" s="5"/>
      <c r="I79" s="5"/>
      <c r="J79" s="5"/>
      <c r="K79" s="5"/>
      <c r="L79" s="5"/>
      <c r="M79" s="5"/>
      <c r="N79" s="5"/>
      <c r="O79" s="5"/>
      <c r="P79" s="5"/>
      <c r="Q79" s="5"/>
      <c r="R79" s="5"/>
      <c r="S79" s="5"/>
      <c r="T79" s="5"/>
      <c r="U79" s="5"/>
      <c r="V79" s="5"/>
      <c r="W79" s="5"/>
    </row>
    <row r="80" spans="1:23" x14ac:dyDescent="0.3">
      <c r="A80" s="5"/>
      <c r="B80" s="5"/>
      <c r="C80" s="5"/>
      <c r="D80" s="5"/>
      <c r="E80" s="5"/>
      <c r="F80" s="5"/>
      <c r="G80" s="5"/>
      <c r="H80" s="5"/>
      <c r="I80" s="5"/>
      <c r="J80" s="5"/>
      <c r="K80" s="5"/>
      <c r="L80" s="5"/>
      <c r="M80" s="5"/>
      <c r="N80" s="5"/>
      <c r="O80" s="5"/>
      <c r="P80" s="5"/>
      <c r="Q80" s="5"/>
      <c r="R80" s="5"/>
      <c r="S80" s="5"/>
      <c r="T80" s="5"/>
      <c r="U80" s="5"/>
      <c r="V80" s="5"/>
      <c r="W80" s="5"/>
    </row>
    <row r="81" spans="1:23" x14ac:dyDescent="0.3">
      <c r="A81" s="5"/>
      <c r="B81" s="5"/>
      <c r="C81" s="5"/>
      <c r="D81" s="5"/>
      <c r="E81" s="5"/>
      <c r="F81" s="5"/>
      <c r="G81" s="5"/>
      <c r="H81" s="5"/>
      <c r="I81" s="5"/>
      <c r="J81" s="5"/>
      <c r="K81" s="5"/>
      <c r="L81" s="5"/>
      <c r="M81" s="5"/>
      <c r="N81" s="5"/>
      <c r="O81" s="5"/>
      <c r="P81" s="5"/>
      <c r="Q81" s="5"/>
      <c r="R81" s="5"/>
      <c r="S81" s="5"/>
      <c r="T81" s="5"/>
      <c r="U81" s="5"/>
      <c r="V81" s="5"/>
      <c r="W81" s="5"/>
    </row>
    <row r="82" spans="1:23" x14ac:dyDescent="0.3">
      <c r="A82" s="5"/>
      <c r="B82" s="5"/>
      <c r="C82" s="5"/>
      <c r="D82" s="5"/>
      <c r="E82" s="5"/>
      <c r="F82" s="5"/>
      <c r="G82" s="5"/>
      <c r="H82" s="5"/>
      <c r="I82" s="5"/>
      <c r="J82" s="5"/>
      <c r="K82" s="5"/>
      <c r="L82" s="5"/>
      <c r="M82" s="5"/>
      <c r="N82" s="5"/>
      <c r="O82" s="5"/>
      <c r="P82" s="5"/>
      <c r="Q82" s="5"/>
      <c r="R82" s="5"/>
      <c r="S82" s="5"/>
      <c r="T82" s="5"/>
      <c r="U82" s="5"/>
      <c r="V82" s="5"/>
      <c r="W82" s="5"/>
    </row>
    <row r="83" spans="1:23" x14ac:dyDescent="0.3">
      <c r="A83" s="5"/>
      <c r="B83" s="5"/>
      <c r="C83" s="5"/>
      <c r="D83" s="5"/>
      <c r="E83" s="5"/>
      <c r="F83" s="5"/>
      <c r="G83" s="5"/>
      <c r="H83" s="5"/>
      <c r="I83" s="5"/>
      <c r="J83" s="5"/>
      <c r="K83" s="5"/>
      <c r="L83" s="5"/>
      <c r="M83" s="5"/>
      <c r="N83" s="5"/>
      <c r="O83" s="5"/>
      <c r="P83" s="5"/>
      <c r="Q83" s="5"/>
      <c r="R83" s="5"/>
      <c r="S83" s="5"/>
      <c r="T83" s="5"/>
      <c r="U83" s="5"/>
      <c r="V83" s="5"/>
      <c r="W83" s="5"/>
    </row>
    <row r="84" spans="1:23" x14ac:dyDescent="0.3">
      <c r="A84" s="5"/>
      <c r="B84" s="5"/>
      <c r="C84" s="5"/>
      <c r="D84" s="5"/>
      <c r="E84" s="5"/>
      <c r="F84" s="5"/>
      <c r="G84" s="5"/>
      <c r="H84" s="5"/>
      <c r="I84" s="5"/>
      <c r="J84" s="5"/>
      <c r="K84" s="5"/>
      <c r="L84" s="5"/>
      <c r="M84" s="5"/>
      <c r="N84" s="5"/>
      <c r="O84" s="5"/>
      <c r="P84" s="5"/>
      <c r="Q84" s="5"/>
      <c r="R84" s="5"/>
      <c r="S84" s="5"/>
      <c r="T84" s="5"/>
      <c r="U84" s="5"/>
      <c r="V84" s="5"/>
      <c r="W84" s="5"/>
    </row>
    <row r="85" spans="1:23" x14ac:dyDescent="0.3">
      <c r="A85" s="5"/>
      <c r="B85" s="5"/>
      <c r="C85" s="5"/>
      <c r="D85" s="5"/>
      <c r="E85" s="5"/>
      <c r="F85" s="5"/>
      <c r="G85" s="5"/>
      <c r="H85" s="5"/>
      <c r="I85" s="5"/>
      <c r="J85" s="5"/>
      <c r="K85" s="5"/>
      <c r="L85" s="5"/>
      <c r="M85" s="5"/>
      <c r="N85" s="5"/>
      <c r="O85" s="5"/>
      <c r="P85" s="5"/>
      <c r="Q85" s="5"/>
      <c r="R85" s="5"/>
      <c r="S85" s="5"/>
      <c r="T85" s="5"/>
      <c r="U85" s="5"/>
      <c r="V85" s="5"/>
      <c r="W85" s="5"/>
    </row>
    <row r="86" spans="1:23" x14ac:dyDescent="0.3">
      <c r="A86" s="5"/>
      <c r="B86" s="5"/>
      <c r="C86" s="5"/>
      <c r="D86" s="5"/>
      <c r="E86" s="5"/>
      <c r="F86" s="5"/>
      <c r="G86" s="5"/>
      <c r="H86" s="5"/>
      <c r="I86" s="5"/>
      <c r="J86" s="5"/>
      <c r="K86" s="5"/>
      <c r="L86" s="5"/>
      <c r="M86" s="5"/>
      <c r="N86" s="5"/>
      <c r="O86" s="5"/>
      <c r="P86" s="5"/>
      <c r="Q86" s="5"/>
      <c r="R86" s="5"/>
      <c r="S86" s="5"/>
      <c r="T86" s="5"/>
      <c r="U86" s="5"/>
      <c r="V86" s="5"/>
      <c r="W86" s="5"/>
    </row>
    <row r="87" spans="1:23" x14ac:dyDescent="0.3">
      <c r="A87" s="5"/>
      <c r="B87" s="5"/>
      <c r="C87" s="5"/>
      <c r="D87" s="5"/>
      <c r="E87" s="5"/>
      <c r="F87" s="5"/>
      <c r="G87" s="5"/>
      <c r="H87" s="5"/>
      <c r="I87" s="5"/>
      <c r="J87" s="5"/>
      <c r="K87" s="5"/>
      <c r="L87" s="5"/>
      <c r="M87" s="5"/>
      <c r="N87" s="5"/>
      <c r="O87" s="5"/>
      <c r="P87" s="5"/>
      <c r="Q87" s="5"/>
      <c r="R87" s="5"/>
      <c r="S87" s="5"/>
      <c r="T87" s="5"/>
      <c r="U87" s="5"/>
      <c r="V87" s="5"/>
      <c r="W87" s="5"/>
    </row>
    <row r="88" spans="1:23" x14ac:dyDescent="0.3">
      <c r="A88" s="5"/>
      <c r="B88" s="5"/>
      <c r="C88" s="5"/>
      <c r="D88" s="5"/>
      <c r="E88" s="5"/>
      <c r="F88" s="5"/>
      <c r="G88" s="5"/>
      <c r="H88" s="5"/>
      <c r="I88" s="5"/>
      <c r="J88" s="5"/>
      <c r="K88" s="5"/>
      <c r="L88" s="5"/>
      <c r="M88" s="5"/>
      <c r="N88" s="5"/>
      <c r="O88" s="5"/>
      <c r="P88" s="5"/>
      <c r="Q88" s="5"/>
      <c r="R88" s="5"/>
      <c r="S88" s="5"/>
      <c r="T88" s="5"/>
      <c r="U88" s="5"/>
      <c r="V88" s="5"/>
      <c r="W88" s="5"/>
    </row>
    <row r="89" spans="1:23" x14ac:dyDescent="0.3">
      <c r="A89" s="5"/>
      <c r="B89" s="5"/>
      <c r="C89" s="5"/>
      <c r="D89" s="5"/>
      <c r="E89" s="5"/>
      <c r="F89" s="5"/>
      <c r="G89" s="5"/>
      <c r="H89" s="5"/>
      <c r="I89" s="5"/>
      <c r="J89" s="5"/>
      <c r="K89" s="5"/>
      <c r="L89" s="5"/>
      <c r="M89" s="5"/>
      <c r="N89" s="5"/>
      <c r="O89" s="5"/>
      <c r="P89" s="5"/>
      <c r="Q89" s="5"/>
      <c r="R89" s="5"/>
      <c r="S89" s="5"/>
      <c r="T89" s="5"/>
      <c r="U89" s="5"/>
      <c r="V89" s="5"/>
      <c r="W89" s="5"/>
    </row>
    <row r="90" spans="1:23" x14ac:dyDescent="0.3">
      <c r="A90" s="5"/>
      <c r="B90" s="5"/>
      <c r="C90" s="5"/>
      <c r="D90" s="5"/>
      <c r="E90" s="5"/>
      <c r="F90" s="5"/>
      <c r="G90" s="5"/>
      <c r="H90" s="5"/>
      <c r="I90" s="5"/>
      <c r="J90" s="5"/>
      <c r="K90" s="5"/>
      <c r="L90" s="5"/>
      <c r="M90" s="5"/>
      <c r="N90" s="5"/>
      <c r="O90" s="5"/>
      <c r="P90" s="5"/>
      <c r="Q90" s="5"/>
      <c r="R90" s="5"/>
      <c r="S90" s="5"/>
      <c r="T90" s="5"/>
      <c r="U90" s="5"/>
      <c r="V90" s="5"/>
      <c r="W90" s="5"/>
    </row>
    <row r="91" spans="1:23" x14ac:dyDescent="0.3">
      <c r="A91" s="5"/>
      <c r="B91" s="5"/>
      <c r="C91" s="5"/>
      <c r="D91" s="5"/>
      <c r="E91" s="5"/>
      <c r="F91" s="5"/>
      <c r="G91" s="5"/>
      <c r="H91" s="5"/>
      <c r="I91" s="5"/>
      <c r="J91" s="5"/>
      <c r="K91" s="5"/>
      <c r="L91" s="5"/>
      <c r="M91" s="5"/>
      <c r="N91" s="5"/>
      <c r="O91" s="5"/>
      <c r="P91" s="5"/>
      <c r="Q91" s="5"/>
      <c r="R91" s="5"/>
      <c r="S91" s="5"/>
      <c r="T91" s="5"/>
      <c r="U91" s="5"/>
      <c r="V91" s="5"/>
      <c r="W91" s="5"/>
    </row>
    <row r="92" spans="1:23" x14ac:dyDescent="0.3">
      <c r="A92" s="5"/>
      <c r="B92" s="5"/>
      <c r="C92" s="5"/>
      <c r="D92" s="5"/>
      <c r="E92" s="5"/>
      <c r="F92" s="5"/>
      <c r="G92" s="5"/>
      <c r="H92" s="5"/>
      <c r="I92" s="5"/>
      <c r="J92" s="5"/>
      <c r="K92" s="5"/>
      <c r="L92" s="5"/>
      <c r="M92" s="5"/>
      <c r="N92" s="5"/>
      <c r="O92" s="5"/>
      <c r="P92" s="5"/>
      <c r="Q92" s="5"/>
      <c r="R92" s="5"/>
      <c r="S92" s="5"/>
      <c r="T92" s="5"/>
      <c r="U92" s="5"/>
      <c r="V92" s="5"/>
      <c r="W92" s="5"/>
    </row>
    <row r="93" spans="1:23" x14ac:dyDescent="0.3">
      <c r="A93" s="5"/>
      <c r="B93" s="5"/>
      <c r="C93" s="5"/>
      <c r="D93" s="5"/>
      <c r="E93" s="5"/>
      <c r="F93" s="5"/>
      <c r="G93" s="5"/>
      <c r="H93" s="5"/>
      <c r="I93" s="5"/>
      <c r="J93" s="5"/>
      <c r="K93" s="5"/>
      <c r="L93" s="5"/>
      <c r="M93" s="5"/>
      <c r="N93" s="5"/>
      <c r="O93" s="5"/>
      <c r="P93" s="5"/>
      <c r="Q93" s="5"/>
      <c r="R93" s="5"/>
      <c r="S93" s="5"/>
      <c r="T93" s="5"/>
      <c r="U93" s="5"/>
      <c r="V93" s="5"/>
      <c r="W93" s="5"/>
    </row>
    <row r="94" spans="1:23" x14ac:dyDescent="0.3">
      <c r="A94" s="5"/>
      <c r="B94" s="5"/>
      <c r="C94" s="5"/>
      <c r="D94" s="5"/>
      <c r="E94" s="5"/>
      <c r="F94" s="5"/>
      <c r="G94" s="5"/>
      <c r="H94" s="5"/>
      <c r="I94" s="5"/>
      <c r="J94" s="5"/>
      <c r="K94" s="5"/>
      <c r="L94" s="5"/>
      <c r="M94" s="5"/>
      <c r="N94" s="5"/>
      <c r="O94" s="5"/>
      <c r="P94" s="5"/>
      <c r="Q94" s="5"/>
      <c r="R94" s="5"/>
      <c r="S94" s="5"/>
      <c r="T94" s="5"/>
      <c r="U94" s="5"/>
      <c r="V94" s="5"/>
      <c r="W94" s="5"/>
    </row>
    <row r="95" spans="1:23" x14ac:dyDescent="0.3">
      <c r="A95" s="5"/>
      <c r="B95" s="5"/>
      <c r="C95" s="5"/>
      <c r="D95" s="5"/>
      <c r="E95" s="5"/>
      <c r="F95" s="5"/>
      <c r="G95" s="5"/>
      <c r="H95" s="5"/>
      <c r="I95" s="5"/>
      <c r="J95" s="5"/>
      <c r="K95" s="5"/>
      <c r="L95" s="5"/>
      <c r="M95" s="5"/>
      <c r="N95" s="5"/>
      <c r="O95" s="5"/>
      <c r="P95" s="5"/>
      <c r="Q95" s="5"/>
      <c r="R95" s="5"/>
      <c r="S95" s="5"/>
      <c r="T95" s="5"/>
      <c r="U95" s="5"/>
      <c r="V95" s="5"/>
      <c r="W95" s="5"/>
    </row>
    <row r="96" spans="1:23" x14ac:dyDescent="0.3">
      <c r="A96" s="5"/>
      <c r="B96" s="5"/>
      <c r="C96" s="5"/>
      <c r="D96" s="5"/>
      <c r="E96" s="5"/>
      <c r="F96" s="5"/>
      <c r="G96" s="5"/>
      <c r="H96" s="5"/>
      <c r="I96" s="5"/>
      <c r="J96" s="5"/>
      <c r="K96" s="5"/>
      <c r="L96" s="5"/>
      <c r="M96" s="5"/>
      <c r="N96" s="5"/>
      <c r="O96" s="5"/>
      <c r="P96" s="5"/>
      <c r="Q96" s="5"/>
      <c r="R96" s="5"/>
      <c r="S96" s="5"/>
      <c r="T96" s="5"/>
      <c r="U96" s="5"/>
      <c r="V96" s="5"/>
      <c r="W96" s="5"/>
    </row>
    <row r="97" spans="1:23" x14ac:dyDescent="0.3">
      <c r="A97" s="5"/>
      <c r="B97" s="5"/>
      <c r="C97" s="5"/>
      <c r="D97" s="5"/>
      <c r="E97" s="5"/>
      <c r="F97" s="5"/>
      <c r="G97" s="5"/>
      <c r="H97" s="5"/>
      <c r="I97" s="5"/>
      <c r="J97" s="5"/>
      <c r="K97" s="5"/>
      <c r="L97" s="5"/>
      <c r="M97" s="5"/>
      <c r="N97" s="5"/>
      <c r="O97" s="5"/>
      <c r="P97" s="5"/>
      <c r="Q97" s="5"/>
      <c r="R97" s="5"/>
      <c r="S97" s="5"/>
      <c r="T97" s="5"/>
      <c r="U97" s="5"/>
      <c r="V97" s="5"/>
      <c r="W97" s="5"/>
    </row>
    <row r="98" spans="1:23" x14ac:dyDescent="0.3">
      <c r="A98" s="5"/>
      <c r="B98" s="5"/>
      <c r="C98" s="5"/>
      <c r="D98" s="5"/>
      <c r="E98" s="5"/>
      <c r="F98" s="5"/>
      <c r="G98" s="5"/>
      <c r="H98" s="5"/>
      <c r="I98" s="5"/>
      <c r="J98" s="5"/>
      <c r="K98" s="5"/>
      <c r="L98" s="5"/>
      <c r="M98" s="5"/>
      <c r="N98" s="5"/>
      <c r="O98" s="5"/>
      <c r="P98" s="5"/>
      <c r="Q98" s="5"/>
      <c r="R98" s="5"/>
      <c r="S98" s="5"/>
      <c r="T98" s="5"/>
      <c r="U98" s="5"/>
      <c r="V98" s="5"/>
      <c r="W98" s="5"/>
    </row>
  </sheetData>
  <mergeCells count="1">
    <mergeCell ref="A1: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Departement-wise Avg Attend.</vt:lpstr>
      <vt:lpstr>Performance Rating Distri.</vt:lpstr>
      <vt:lpstr>Emplowise Attendance</vt:lpstr>
      <vt:lpstr>Attendance_Data</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Tripathi</dc:creator>
  <cp:lastModifiedBy>Ankit Tripathi</cp:lastModifiedBy>
  <dcterms:created xsi:type="dcterms:W3CDTF">2026-06-13T10:24:13Z</dcterms:created>
  <dcterms:modified xsi:type="dcterms:W3CDTF">2026-06-13T11:36:35Z</dcterms:modified>
</cp:coreProperties>
</file>